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3.xml" ContentType="application/vnd.openxmlformats-officedocument.drawing+xml"/>
  <Override PartName="/xl/slicers/slicer3.xml" ContentType="application/vnd.ms-excel.slicer+xml"/>
  <Override PartName="/xl/timelines/timeline3.xml" ContentType="application/vnd.ms-excel.timelin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xml"/>
  <Override PartName="/xl/slicers/slicer4.xml" ContentType="application/vnd.ms-excel.slicer+xml"/>
  <Override PartName="/xl/timelines/timeline4.xml" ContentType="application/vnd.ms-excel.timelin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5.xml" ContentType="application/vnd.openxmlformats-officedocument.drawing+xml"/>
  <Override PartName="/xl/slicers/slicer5.xml" ContentType="application/vnd.ms-excel.slicer+xml"/>
  <Override PartName="/xl/timelines/timeline5.xml" ContentType="application/vnd.ms-excel.timelin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D:\Excel\"/>
    </mc:Choice>
  </mc:AlternateContent>
  <bookViews>
    <workbookView xWindow="0" yWindow="0" windowWidth="20490" windowHeight="7500" activeTab="5"/>
  </bookViews>
  <sheets>
    <sheet name="Sales_Data" sheetId="1" r:id="rId1"/>
    <sheet name="Pivot Table" sheetId="6" state="hidden" r:id="rId2"/>
    <sheet name="Dash Board" sheetId="7" r:id="rId3"/>
    <sheet name="Product" sheetId="8" r:id="rId4"/>
    <sheet name="Salesman" sheetId="9" r:id="rId5"/>
    <sheet name="About" sheetId="10" r:id="rId6"/>
  </sheets>
  <definedNames>
    <definedName name="NativeTimeline_Date1">#N/A</definedName>
    <definedName name="Slicer_Place1">#N/A</definedName>
    <definedName name="Slicer_Products">#N/A</definedName>
  </definedNames>
  <calcPr calcId="162913"/>
  <pivotCaches>
    <pivotCache cacheId="1"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79" i="1" l="1"/>
  <c r="G278" i="1"/>
  <c r="G277" i="1"/>
  <c r="G276" i="1"/>
  <c r="G275" i="1"/>
  <c r="G274" i="1"/>
  <c r="G273" i="1"/>
  <c r="G272" i="1"/>
  <c r="G271" i="1"/>
  <c r="G270" i="1"/>
  <c r="G269" i="1"/>
  <c r="G268" i="1"/>
  <c r="G267" i="1"/>
  <c r="G266" i="1"/>
  <c r="G265" i="1"/>
  <c r="G264" i="1"/>
  <c r="G263" i="1"/>
  <c r="G262" i="1"/>
  <c r="G261" i="1"/>
  <c r="G260" i="1"/>
  <c r="G259" i="1"/>
  <c r="G258" i="1"/>
  <c r="G257" i="1"/>
  <c r="G256" i="1"/>
  <c r="G255" i="1"/>
  <c r="G254" i="1"/>
  <c r="G253" i="1"/>
  <c r="G252" i="1"/>
  <c r="G251" i="1"/>
  <c r="G250" i="1"/>
  <c r="G249" i="1"/>
  <c r="G248" i="1"/>
  <c r="G247" i="1"/>
  <c r="G246" i="1"/>
  <c r="G245" i="1"/>
  <c r="G244" i="1"/>
  <c r="G243" i="1"/>
  <c r="G242" i="1"/>
  <c r="G241" i="1"/>
  <c r="G240" i="1"/>
  <c r="G239" i="1"/>
  <c r="G238" i="1"/>
  <c r="G237" i="1"/>
  <c r="G236" i="1"/>
  <c r="G235" i="1"/>
  <c r="G234" i="1"/>
  <c r="G233" i="1"/>
  <c r="G232" i="1"/>
  <c r="G231" i="1"/>
  <c r="G230" i="1"/>
  <c r="G229" i="1"/>
  <c r="G228" i="1"/>
  <c r="G227" i="1"/>
  <c r="G226" i="1"/>
  <c r="G225" i="1"/>
  <c r="G224" i="1"/>
  <c r="G223" i="1"/>
  <c r="G222" i="1"/>
  <c r="G221" i="1"/>
  <c r="G220" i="1"/>
  <c r="G219" i="1"/>
  <c r="G218" i="1"/>
  <c r="G217" i="1"/>
  <c r="G216" i="1"/>
  <c r="G215" i="1"/>
  <c r="G214" i="1"/>
  <c r="G213" i="1"/>
  <c r="G212" i="1"/>
  <c r="G211" i="1"/>
  <c r="G210" i="1"/>
  <c r="G209" i="1"/>
  <c r="G208" i="1"/>
  <c r="G207" i="1"/>
  <c r="G206" i="1"/>
  <c r="G205" i="1"/>
  <c r="G204" i="1"/>
  <c r="G203" i="1"/>
  <c r="G202" i="1"/>
  <c r="G201" i="1"/>
  <c r="G200" i="1"/>
  <c r="G199" i="1"/>
  <c r="G198" i="1"/>
  <c r="G197" i="1"/>
  <c r="G196" i="1"/>
  <c r="G195" i="1"/>
  <c r="G194" i="1"/>
  <c r="G193" i="1"/>
  <c r="G192" i="1"/>
  <c r="G191" i="1"/>
  <c r="G190" i="1"/>
  <c r="G189" i="1"/>
  <c r="G188" i="1"/>
  <c r="G187" i="1"/>
  <c r="G186" i="1"/>
  <c r="G185" i="1"/>
  <c r="G184" i="1"/>
  <c r="G183" i="1"/>
  <c r="G182" i="1"/>
  <c r="G181" i="1"/>
  <c r="G180" i="1"/>
  <c r="G179" i="1"/>
  <c r="G178" i="1"/>
  <c r="G177" i="1"/>
  <c r="G176" i="1"/>
  <c r="G175" i="1"/>
  <c r="G174" i="1"/>
  <c r="G173" i="1"/>
  <c r="G172" i="1"/>
  <c r="G171" i="1"/>
  <c r="G170" i="1"/>
  <c r="G169" i="1"/>
  <c r="G168" i="1"/>
  <c r="G167" i="1"/>
  <c r="G166" i="1"/>
  <c r="G165" i="1"/>
  <c r="G164" i="1"/>
  <c r="G163" i="1"/>
  <c r="G162" i="1"/>
  <c r="G161" i="1"/>
  <c r="G160" i="1"/>
  <c r="G159" i="1"/>
  <c r="G158" i="1"/>
  <c r="G157" i="1"/>
  <c r="G156" i="1"/>
  <c r="G155" i="1"/>
  <c r="G154" i="1"/>
  <c r="G153" i="1"/>
  <c r="G152"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73" i="1"/>
  <c r="G72" i="1"/>
  <c r="G71" i="1"/>
  <c r="G70" i="1"/>
  <c r="G69" i="1"/>
  <c r="G68" i="1"/>
  <c r="G67" i="1"/>
  <c r="G66" i="1"/>
  <c r="G65" i="1"/>
  <c r="G64" i="1"/>
  <c r="G63" i="1"/>
  <c r="G62" i="1"/>
  <c r="G61" i="1"/>
  <c r="G60" i="1"/>
  <c r="G59" i="1"/>
  <c r="G58" i="1"/>
  <c r="G57" i="1"/>
  <c r="G56" i="1"/>
  <c r="G55" i="1"/>
  <c r="G54" i="1"/>
  <c r="G53" i="1"/>
  <c r="G52" i="1"/>
  <c r="G51" i="1"/>
  <c r="G50" i="1"/>
  <c r="G49" i="1"/>
  <c r="G48" i="1"/>
  <c r="G47" i="1"/>
  <c r="G46"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 r="C44" i="6"/>
  <c r="C40" i="6"/>
</calcChain>
</file>

<file path=xl/sharedStrings.xml><?xml version="1.0" encoding="utf-8"?>
<sst xmlns="http://schemas.openxmlformats.org/spreadsheetml/2006/main" count="918" uniqueCount="42">
  <si>
    <t>Date</t>
  </si>
  <si>
    <t>Sales Persons</t>
  </si>
  <si>
    <t>Products</t>
  </si>
  <si>
    <t>Place</t>
  </si>
  <si>
    <t>Price</t>
  </si>
  <si>
    <t>Units</t>
  </si>
  <si>
    <t>Amount</t>
  </si>
  <si>
    <t>Ramesh</t>
  </si>
  <si>
    <t>Furniture</t>
  </si>
  <si>
    <t>Guntur</t>
  </si>
  <si>
    <t>Kiran</t>
  </si>
  <si>
    <t>Vijayawada</t>
  </si>
  <si>
    <t>Gopi</t>
  </si>
  <si>
    <t>LED TV's</t>
  </si>
  <si>
    <t>Bapatla</t>
  </si>
  <si>
    <t>Mahesh</t>
  </si>
  <si>
    <t>4K LED TV's</t>
  </si>
  <si>
    <t>Mobiles</t>
  </si>
  <si>
    <t>Tenali</t>
  </si>
  <si>
    <t>Ganesh</t>
  </si>
  <si>
    <t>Laptops</t>
  </si>
  <si>
    <t>Chirala</t>
  </si>
  <si>
    <t>Speakers</t>
  </si>
  <si>
    <t>Prathap</t>
  </si>
  <si>
    <t>Ongole</t>
  </si>
  <si>
    <t>Row Labels</t>
  </si>
  <si>
    <t>Jan</t>
  </si>
  <si>
    <t>Feb</t>
  </si>
  <si>
    <t>Mar</t>
  </si>
  <si>
    <t>Apr</t>
  </si>
  <si>
    <t>May</t>
  </si>
  <si>
    <t>Jun</t>
  </si>
  <si>
    <t>Jul</t>
  </si>
  <si>
    <t>Aug</t>
  </si>
  <si>
    <t>Sep</t>
  </si>
  <si>
    <t>Oct</t>
  </si>
  <si>
    <t>Nov</t>
  </si>
  <si>
    <t>Dec</t>
  </si>
  <si>
    <t>Grand Total</t>
  </si>
  <si>
    <t>Sum of Amount</t>
  </si>
  <si>
    <t>Count of Amount</t>
  </si>
  <si>
    <t>Sum of Units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</si>
</sst>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43" formatCode="_ * #,##0.00_ ;_ * \-#,##0.00_ ;_ * &quot;-&quot;??_ ;_ @_ "/>
    <numFmt numFmtId="164" formatCode="_ * #,##0_ ;_ * \-#,##0_ ;_ * &quot;-&quot;??_ ;_ @_ "/>
  </numFmts>
  <fonts count="4" x14ac:knownFonts="1">
    <font>
      <sz val="11"/>
      <color theme="1"/>
      <name val="Century Gothic"/>
      <family val="2"/>
      <scheme val="minor"/>
    </font>
    <font>
      <b/>
      <sz val="14"/>
      <color rgb="FFFF0000"/>
      <name val="Century Gothic"/>
      <family val="2"/>
      <scheme val="minor"/>
    </font>
    <font>
      <b/>
      <sz val="12"/>
      <color theme="1"/>
      <name val="Century Gothic"/>
      <family val="2"/>
      <scheme val="minor"/>
    </font>
    <font>
      <sz val="11"/>
      <color theme="1"/>
      <name val="Century Gothic"/>
      <family val="2"/>
      <scheme val="minor"/>
    </font>
  </fonts>
  <fills count="4">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s>
  <cellStyleXfs count="2">
    <xf numFmtId="0" fontId="0" fillId="0" borderId="0"/>
    <xf numFmtId="43" fontId="3" fillId="0" borderId="0" applyFont="0" applyFill="0" applyBorder="0" applyAlignment="0" applyProtection="0"/>
  </cellStyleXfs>
  <cellXfs count="18">
    <xf numFmtId="0" fontId="0" fillId="0" borderId="0" xfId="0"/>
    <xf numFmtId="0" fontId="0" fillId="0" borderId="0" xfId="0" pivotButton="1"/>
    <xf numFmtId="14" fontId="0" fillId="0" borderId="0" xfId="0" applyNumberFormat="1" applyAlignment="1">
      <alignment horizontal="left"/>
    </xf>
    <xf numFmtId="0" fontId="0" fillId="0" borderId="0" xfId="0" applyAlignment="1">
      <alignment horizontal="left"/>
    </xf>
    <xf numFmtId="164" fontId="0" fillId="0" borderId="0" xfId="0" applyNumberFormat="1"/>
    <xf numFmtId="164" fontId="0" fillId="0" borderId="0" xfId="1" applyNumberFormat="1" applyFont="1"/>
    <xf numFmtId="0" fontId="0" fillId="0" borderId="0" xfId="0" applyNumberFormat="1"/>
    <xf numFmtId="3" fontId="0" fillId="0" borderId="0" xfId="0" applyNumberFormat="1"/>
    <xf numFmtId="0" fontId="1" fillId="2" borderId="1" xfId="0" applyFont="1" applyFill="1" applyBorder="1" applyAlignment="1">
      <alignment horizontal="center" vertical="center"/>
    </xf>
    <xf numFmtId="14" fontId="2" fillId="3"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3" fontId="2" fillId="3" borderId="1" xfId="0" applyNumberFormat="1" applyFont="1" applyFill="1" applyBorder="1" applyAlignment="1">
      <alignment horizontal="center" vertical="center"/>
    </xf>
    <xf numFmtId="14" fontId="2" fillId="0" borderId="1" xfId="0" applyNumberFormat="1" applyFont="1" applyBorder="1" applyAlignment="1">
      <alignment horizontal="center" vertical="center"/>
    </xf>
    <xf numFmtId="0" fontId="2" fillId="0" borderId="1" xfId="0" applyFont="1" applyBorder="1" applyAlignment="1">
      <alignment horizontal="center" vertical="center"/>
    </xf>
    <xf numFmtId="3" fontId="2" fillId="0" borderId="1" xfId="0" applyNumberFormat="1" applyFont="1" applyBorder="1" applyAlignment="1">
      <alignment horizontal="center" vertical="center"/>
    </xf>
    <xf numFmtId="14" fontId="2" fillId="0" borderId="2" xfId="0" applyNumberFormat="1" applyFont="1" applyBorder="1" applyAlignment="1">
      <alignment horizontal="center" vertical="center"/>
    </xf>
    <xf numFmtId="0" fontId="2" fillId="0" borderId="2" xfId="0" applyFont="1" applyBorder="1" applyAlignment="1">
      <alignment horizontal="center" vertical="center"/>
    </xf>
    <xf numFmtId="3" fontId="2" fillId="0" borderId="2" xfId="0" applyNumberFormat="1" applyFont="1" applyBorder="1" applyAlignment="1">
      <alignment horizontal="center" vertical="center"/>
    </xf>
  </cellXfs>
  <cellStyles count="2">
    <cellStyle name="Comma" xfId="1" builtinId="3"/>
    <cellStyle name="Normal" xfId="0" builtinId="0"/>
  </cellStyles>
  <dxfs count="2">
    <dxf>
      <numFmt numFmtId="3" formatCode="#,##0"/>
    </dxf>
    <dxf>
      <numFmt numFmtId="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Table!PivotTable13</c:name>
    <c:fmtId val="3"/>
  </c:pivotSource>
  <c:chart>
    <c:autoTitleDeleted val="1"/>
    <c:pivotFmts>
      <c:pivotFmt>
        <c:idx val="0"/>
        <c:spPr>
          <a:ln w="28575" cap="rnd">
            <a:solidFill>
              <a:schemeClr val="accent1"/>
            </a:solidFill>
            <a:round/>
          </a:ln>
          <a:effectLst/>
        </c:spPr>
        <c:marker>
          <c:symbol val="none"/>
        </c:marker>
      </c:pivotFmt>
    </c:pivotFmts>
    <c:plotArea>
      <c:layout/>
      <c:lineChart>
        <c:grouping val="standard"/>
        <c:varyColors val="0"/>
        <c:ser>
          <c:idx val="0"/>
          <c:order val="0"/>
          <c:tx>
            <c:strRef>
              <c:f>'Pivot Table'!$B$1</c:f>
              <c:strCache>
                <c:ptCount val="1"/>
                <c:pt idx="0">
                  <c:v>Total</c:v>
                </c:pt>
              </c:strCache>
            </c:strRef>
          </c:tx>
          <c:spPr>
            <a:ln w="28575" cap="rnd">
              <a:solidFill>
                <a:schemeClr val="accent1"/>
              </a:solidFill>
              <a:round/>
            </a:ln>
            <a:effectLst/>
          </c:spPr>
          <c:marker>
            <c:symbol val="none"/>
          </c:marker>
          <c:cat>
            <c:strRef>
              <c:f>'Pivot Table'!$A$2:$A$14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Table'!$B$2:$B$14</c:f>
              <c:numCache>
                <c:formatCode>General</c:formatCode>
                <c:ptCount val="12"/>
                <c:pt idx="0">
                  <c:v>11587825</c:v>
                </c:pt>
                <c:pt idx="1">
                  <c:v>9933052</c:v>
                </c:pt>
                <c:pt idx="2">
                  <c:v>5651655</c:v>
                </c:pt>
                <c:pt idx="3">
                  <c:v>2588013</c:v>
                </c:pt>
                <c:pt idx="4">
                  <c:v>8435834</c:v>
                </c:pt>
                <c:pt idx="5">
                  <c:v>3751547</c:v>
                </c:pt>
                <c:pt idx="6">
                  <c:v>18122063</c:v>
                </c:pt>
                <c:pt idx="7">
                  <c:v>10988474</c:v>
                </c:pt>
                <c:pt idx="8">
                  <c:v>13532478</c:v>
                </c:pt>
                <c:pt idx="9">
                  <c:v>16467945</c:v>
                </c:pt>
                <c:pt idx="10">
                  <c:v>5605463</c:v>
                </c:pt>
                <c:pt idx="11">
                  <c:v>12067544</c:v>
                </c:pt>
              </c:numCache>
            </c:numRef>
          </c:val>
          <c:smooth val="0"/>
          <c:extLst>
            <c:ext xmlns:c16="http://schemas.microsoft.com/office/drawing/2014/chart" uri="{C3380CC4-5D6E-409C-BE32-E72D297353CC}">
              <c16:uniqueId val="{00000000-455E-4B48-9DC6-5E3C2E23437B}"/>
            </c:ext>
          </c:extLst>
        </c:ser>
        <c:dLbls>
          <c:showLegendKey val="0"/>
          <c:showVal val="0"/>
          <c:showCatName val="0"/>
          <c:showSerName val="0"/>
          <c:showPercent val="0"/>
          <c:showBubbleSize val="0"/>
        </c:dLbls>
        <c:smooth val="0"/>
        <c:axId val="130952704"/>
        <c:axId val="130950624"/>
      </c:lineChart>
      <c:catAx>
        <c:axId val="130952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950624"/>
        <c:crosses val="autoZero"/>
        <c:auto val="1"/>
        <c:lblAlgn val="ctr"/>
        <c:lblOffset val="100"/>
        <c:noMultiLvlLbl val="0"/>
      </c:catAx>
      <c:valAx>
        <c:axId val="130950624"/>
        <c:scaling>
          <c:orientation val="minMax"/>
        </c:scaling>
        <c:delete val="1"/>
        <c:axPos val="l"/>
        <c:numFmt formatCode="General" sourceLinked="1"/>
        <c:majorTickMark val="none"/>
        <c:minorTickMark val="none"/>
        <c:tickLblPos val="nextTo"/>
        <c:crossAx val="13095270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Table!PivotTable14</c:name>
    <c:fmtId val="6"/>
  </c:pivotSource>
  <c:chart>
    <c:autoTitleDeleted val="1"/>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'Pivot Table'!$B$18</c:f>
              <c:strCache>
                <c:ptCount val="1"/>
                <c:pt idx="0">
                  <c:v>Total</c:v>
                </c:pt>
              </c:strCache>
            </c:strRef>
          </c:tx>
          <c:spPr>
            <a:solidFill>
              <a:schemeClr val="accent1"/>
            </a:solidFill>
            <a:ln>
              <a:noFill/>
            </a:ln>
            <a:effectLst/>
          </c:spPr>
          <c:invertIfNegative val="0"/>
          <c:cat>
            <c:strRef>
              <c:f>'Pivot Table'!$A$19:$A$25</c:f>
              <c:strCache>
                <c:ptCount val="6"/>
                <c:pt idx="0">
                  <c:v>Bapatla</c:v>
                </c:pt>
                <c:pt idx="1">
                  <c:v>Chirala</c:v>
                </c:pt>
                <c:pt idx="2">
                  <c:v>Guntur</c:v>
                </c:pt>
                <c:pt idx="3">
                  <c:v>Ongole</c:v>
                </c:pt>
                <c:pt idx="4">
                  <c:v>Tenali</c:v>
                </c:pt>
                <c:pt idx="5">
                  <c:v>Vijayawada</c:v>
                </c:pt>
              </c:strCache>
            </c:strRef>
          </c:cat>
          <c:val>
            <c:numRef>
              <c:f>'Pivot Table'!$B$19:$B$25</c:f>
              <c:numCache>
                <c:formatCode>General</c:formatCode>
                <c:ptCount val="6"/>
                <c:pt idx="0">
                  <c:v>16052685</c:v>
                </c:pt>
                <c:pt idx="1">
                  <c:v>16926316</c:v>
                </c:pt>
                <c:pt idx="2">
                  <c:v>19179514</c:v>
                </c:pt>
                <c:pt idx="3">
                  <c:v>10438408</c:v>
                </c:pt>
                <c:pt idx="4">
                  <c:v>41054876</c:v>
                </c:pt>
                <c:pt idx="5">
                  <c:v>15080094</c:v>
                </c:pt>
              </c:numCache>
            </c:numRef>
          </c:val>
          <c:extLst>
            <c:ext xmlns:c16="http://schemas.microsoft.com/office/drawing/2014/chart" uri="{C3380CC4-5D6E-409C-BE32-E72D297353CC}">
              <c16:uniqueId val="{00000000-7DF6-416A-B7D4-91C77143D382}"/>
            </c:ext>
          </c:extLst>
        </c:ser>
        <c:dLbls>
          <c:showLegendKey val="0"/>
          <c:showVal val="0"/>
          <c:showCatName val="0"/>
          <c:showSerName val="0"/>
          <c:showPercent val="0"/>
          <c:showBubbleSize val="0"/>
        </c:dLbls>
        <c:gapWidth val="182"/>
        <c:axId val="130946880"/>
        <c:axId val="130971008"/>
      </c:barChart>
      <c:catAx>
        <c:axId val="1309468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971008"/>
        <c:crosses val="autoZero"/>
        <c:auto val="1"/>
        <c:lblAlgn val="ctr"/>
        <c:lblOffset val="100"/>
        <c:noMultiLvlLbl val="0"/>
      </c:catAx>
      <c:valAx>
        <c:axId val="130971008"/>
        <c:scaling>
          <c:orientation val="minMax"/>
        </c:scaling>
        <c:delete val="1"/>
        <c:axPos val="b"/>
        <c:numFmt formatCode="General" sourceLinked="1"/>
        <c:majorTickMark val="none"/>
        <c:minorTickMark val="none"/>
        <c:tickLblPos val="nextTo"/>
        <c:crossAx val="13094688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Table!PivotTable15</c:name>
    <c:fmtId val="12"/>
  </c:pivotSource>
  <c:chart>
    <c:autoTitleDeleted val="1"/>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'Pivot Table'!$B$29</c:f>
              <c:strCache>
                <c:ptCount val="1"/>
                <c:pt idx="0">
                  <c:v>Total</c:v>
                </c:pt>
              </c:strCache>
            </c:strRef>
          </c:tx>
          <c:spPr>
            <a:solidFill>
              <a:schemeClr val="accent1"/>
            </a:solidFill>
            <a:ln>
              <a:noFill/>
            </a:ln>
            <a:effectLst/>
          </c:spPr>
          <c:invertIfNegative val="0"/>
          <c:cat>
            <c:strRef>
              <c:f>'Pivot Table'!$A$30:$A$36</c:f>
              <c:strCache>
                <c:ptCount val="6"/>
                <c:pt idx="0">
                  <c:v>4K LED TV's</c:v>
                </c:pt>
                <c:pt idx="1">
                  <c:v>Furniture</c:v>
                </c:pt>
                <c:pt idx="2">
                  <c:v>Laptops</c:v>
                </c:pt>
                <c:pt idx="3">
                  <c:v>LED TV's</c:v>
                </c:pt>
                <c:pt idx="4">
                  <c:v>Mobiles</c:v>
                </c:pt>
                <c:pt idx="5">
                  <c:v>Speakers</c:v>
                </c:pt>
              </c:strCache>
            </c:strRef>
          </c:cat>
          <c:val>
            <c:numRef>
              <c:f>'Pivot Table'!$B$30:$B$36</c:f>
              <c:numCache>
                <c:formatCode>General</c:formatCode>
                <c:ptCount val="6"/>
                <c:pt idx="0">
                  <c:v>46830474</c:v>
                </c:pt>
                <c:pt idx="1">
                  <c:v>5263843</c:v>
                </c:pt>
                <c:pt idx="2">
                  <c:v>48711017</c:v>
                </c:pt>
                <c:pt idx="3">
                  <c:v>3523539</c:v>
                </c:pt>
                <c:pt idx="4">
                  <c:v>10414063</c:v>
                </c:pt>
                <c:pt idx="5">
                  <c:v>3988957</c:v>
                </c:pt>
              </c:numCache>
            </c:numRef>
          </c:val>
          <c:extLst>
            <c:ext xmlns:c16="http://schemas.microsoft.com/office/drawing/2014/chart" uri="{C3380CC4-5D6E-409C-BE32-E72D297353CC}">
              <c16:uniqueId val="{00000000-5971-48EB-9407-81F4B9B6EDFA}"/>
            </c:ext>
          </c:extLst>
        </c:ser>
        <c:dLbls>
          <c:showLegendKey val="0"/>
          <c:showVal val="0"/>
          <c:showCatName val="0"/>
          <c:showSerName val="0"/>
          <c:showPercent val="0"/>
          <c:showBubbleSize val="0"/>
        </c:dLbls>
        <c:gapWidth val="219"/>
        <c:overlap val="-27"/>
        <c:axId val="130955616"/>
        <c:axId val="130960608"/>
      </c:barChart>
      <c:catAx>
        <c:axId val="130955616"/>
        <c:scaling>
          <c:orientation val="minMax"/>
        </c:scaling>
        <c:delete val="1"/>
        <c:axPos val="b"/>
        <c:numFmt formatCode="General" sourceLinked="1"/>
        <c:majorTickMark val="none"/>
        <c:minorTickMark val="none"/>
        <c:tickLblPos val="nextTo"/>
        <c:crossAx val="130960608"/>
        <c:crosses val="autoZero"/>
        <c:auto val="1"/>
        <c:lblAlgn val="ctr"/>
        <c:lblOffset val="100"/>
        <c:noMultiLvlLbl val="0"/>
      </c:catAx>
      <c:valAx>
        <c:axId val="130960608"/>
        <c:scaling>
          <c:orientation val="minMax"/>
        </c:scaling>
        <c:delete val="1"/>
        <c:axPos val="l"/>
        <c:numFmt formatCode="General" sourceLinked="1"/>
        <c:majorTickMark val="none"/>
        <c:minorTickMark val="none"/>
        <c:tickLblPos val="nextTo"/>
        <c:crossAx val="13095561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Table!PivotTable4</c:name>
    <c:fmtId val="20"/>
  </c:pivotSource>
  <c:chart>
    <c:autoTitleDeleted val="1"/>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'Pivot Table'!$B$67</c:f>
              <c:strCache>
                <c:ptCount val="1"/>
                <c:pt idx="0">
                  <c:v>Total</c:v>
                </c:pt>
              </c:strCache>
            </c:strRef>
          </c:tx>
          <c:spPr>
            <a:solidFill>
              <a:schemeClr val="accent1"/>
            </a:solidFill>
            <a:ln>
              <a:noFill/>
            </a:ln>
            <a:effectLst/>
          </c:spPr>
          <c:invertIfNegative val="0"/>
          <c:cat>
            <c:strRef>
              <c:f>'Pivot Table'!$A$68:$A$74</c:f>
              <c:strCache>
                <c:ptCount val="6"/>
                <c:pt idx="0">
                  <c:v>4K LED TV's</c:v>
                </c:pt>
                <c:pt idx="1">
                  <c:v>Furniture</c:v>
                </c:pt>
                <c:pt idx="2">
                  <c:v>Laptops</c:v>
                </c:pt>
                <c:pt idx="3">
                  <c:v>LED TV's</c:v>
                </c:pt>
                <c:pt idx="4">
                  <c:v>Mobiles</c:v>
                </c:pt>
                <c:pt idx="5">
                  <c:v>Speakers</c:v>
                </c:pt>
              </c:strCache>
            </c:strRef>
          </c:cat>
          <c:val>
            <c:numRef>
              <c:f>'Pivot Table'!$B$68:$B$74</c:f>
              <c:numCache>
                <c:formatCode>General</c:formatCode>
                <c:ptCount val="6"/>
                <c:pt idx="0">
                  <c:v>1503</c:v>
                </c:pt>
                <c:pt idx="1">
                  <c:v>1233</c:v>
                </c:pt>
                <c:pt idx="2">
                  <c:v>1615</c:v>
                </c:pt>
                <c:pt idx="3">
                  <c:v>694</c:v>
                </c:pt>
                <c:pt idx="4">
                  <c:v>1168</c:v>
                </c:pt>
                <c:pt idx="5">
                  <c:v>1457</c:v>
                </c:pt>
              </c:numCache>
            </c:numRef>
          </c:val>
          <c:extLst>
            <c:ext xmlns:c16="http://schemas.microsoft.com/office/drawing/2014/chart" uri="{C3380CC4-5D6E-409C-BE32-E72D297353CC}">
              <c16:uniqueId val="{00000000-D140-4A68-B9FE-3586BADC0862}"/>
            </c:ext>
          </c:extLst>
        </c:ser>
        <c:dLbls>
          <c:showLegendKey val="0"/>
          <c:showVal val="0"/>
          <c:showCatName val="0"/>
          <c:showSerName val="0"/>
          <c:showPercent val="0"/>
          <c:showBubbleSize val="0"/>
        </c:dLbls>
        <c:gapWidth val="219"/>
        <c:overlap val="-27"/>
        <c:axId val="1475800639"/>
        <c:axId val="1475801471"/>
      </c:barChart>
      <c:catAx>
        <c:axId val="1475800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5801471"/>
        <c:crosses val="autoZero"/>
        <c:auto val="1"/>
        <c:lblAlgn val="ctr"/>
        <c:lblOffset val="100"/>
        <c:noMultiLvlLbl val="0"/>
      </c:catAx>
      <c:valAx>
        <c:axId val="1475801471"/>
        <c:scaling>
          <c:orientation val="minMax"/>
        </c:scaling>
        <c:delete val="1"/>
        <c:axPos val="l"/>
        <c:numFmt formatCode="General" sourceLinked="1"/>
        <c:majorTickMark val="none"/>
        <c:minorTickMark val="none"/>
        <c:tickLblPos val="nextTo"/>
        <c:crossAx val="147580063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Table!PivotTable2</c:name>
    <c:fmtId val="24"/>
  </c:pivotSource>
  <c:chart>
    <c:autoTitleDeleted val="1"/>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'Pivot Table'!$B$47</c:f>
              <c:strCache>
                <c:ptCount val="1"/>
                <c:pt idx="0">
                  <c:v>Total</c:v>
                </c:pt>
              </c:strCache>
            </c:strRef>
          </c:tx>
          <c:spPr>
            <a:solidFill>
              <a:schemeClr val="accent1"/>
            </a:solidFill>
            <a:ln>
              <a:noFill/>
            </a:ln>
            <a:effectLst/>
          </c:spPr>
          <c:invertIfNegative val="0"/>
          <c:cat>
            <c:strRef>
              <c:f>'Pivot Table'!$A$48:$A$51</c:f>
              <c:strCache>
                <c:ptCount val="3"/>
                <c:pt idx="0">
                  <c:v>4K LED TV's</c:v>
                </c:pt>
                <c:pt idx="1">
                  <c:v>Laptops</c:v>
                </c:pt>
                <c:pt idx="2">
                  <c:v>Mobiles</c:v>
                </c:pt>
              </c:strCache>
            </c:strRef>
          </c:cat>
          <c:val>
            <c:numRef>
              <c:f>'Pivot Table'!$B$48:$B$51</c:f>
              <c:numCache>
                <c:formatCode>General</c:formatCode>
                <c:ptCount val="3"/>
                <c:pt idx="0">
                  <c:v>46830474</c:v>
                </c:pt>
                <c:pt idx="1">
                  <c:v>48711017</c:v>
                </c:pt>
                <c:pt idx="2">
                  <c:v>10414063</c:v>
                </c:pt>
              </c:numCache>
            </c:numRef>
          </c:val>
          <c:extLst>
            <c:ext xmlns:c16="http://schemas.microsoft.com/office/drawing/2014/chart" uri="{C3380CC4-5D6E-409C-BE32-E72D297353CC}">
              <c16:uniqueId val="{00000000-67F7-481C-9654-EE554178145F}"/>
            </c:ext>
          </c:extLst>
        </c:ser>
        <c:dLbls>
          <c:showLegendKey val="0"/>
          <c:showVal val="0"/>
          <c:showCatName val="0"/>
          <c:showSerName val="0"/>
          <c:showPercent val="0"/>
          <c:showBubbleSize val="0"/>
        </c:dLbls>
        <c:gapWidth val="182"/>
        <c:axId val="1551335263"/>
        <c:axId val="1551337759"/>
      </c:barChart>
      <c:catAx>
        <c:axId val="15513352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1337759"/>
        <c:crosses val="autoZero"/>
        <c:auto val="1"/>
        <c:lblAlgn val="ctr"/>
        <c:lblOffset val="100"/>
        <c:noMultiLvlLbl val="0"/>
      </c:catAx>
      <c:valAx>
        <c:axId val="1551337759"/>
        <c:scaling>
          <c:orientation val="minMax"/>
        </c:scaling>
        <c:delete val="1"/>
        <c:axPos val="b"/>
        <c:numFmt formatCode="General" sourceLinked="1"/>
        <c:majorTickMark val="none"/>
        <c:minorTickMark val="none"/>
        <c:tickLblPos val="nextTo"/>
        <c:crossAx val="155133526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Table!PivotTable3</c:name>
    <c:fmtId val="31"/>
  </c:pivotSource>
  <c:chart>
    <c:autoTitleDeleted val="1"/>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'Pivot Table'!$B$55</c:f>
              <c:strCache>
                <c:ptCount val="1"/>
                <c:pt idx="0">
                  <c:v>Total</c:v>
                </c:pt>
              </c:strCache>
            </c:strRef>
          </c:tx>
          <c:spPr>
            <a:solidFill>
              <a:schemeClr val="accent1"/>
            </a:solidFill>
            <a:ln>
              <a:noFill/>
            </a:ln>
            <a:effectLst/>
          </c:spPr>
          <c:invertIfNegative val="0"/>
          <c:cat>
            <c:strRef>
              <c:f>'Pivot Table'!$A$56:$A$59</c:f>
              <c:strCache>
                <c:ptCount val="3"/>
                <c:pt idx="0">
                  <c:v>Furniture</c:v>
                </c:pt>
                <c:pt idx="1">
                  <c:v>LED TV's</c:v>
                </c:pt>
                <c:pt idx="2">
                  <c:v>Speakers</c:v>
                </c:pt>
              </c:strCache>
            </c:strRef>
          </c:cat>
          <c:val>
            <c:numRef>
              <c:f>'Pivot Table'!$B$56:$B$59</c:f>
              <c:numCache>
                <c:formatCode>General</c:formatCode>
                <c:ptCount val="3"/>
                <c:pt idx="0">
                  <c:v>5263843</c:v>
                </c:pt>
                <c:pt idx="1">
                  <c:v>3523539</c:v>
                </c:pt>
                <c:pt idx="2">
                  <c:v>3988957</c:v>
                </c:pt>
              </c:numCache>
            </c:numRef>
          </c:val>
          <c:extLst>
            <c:ext xmlns:c16="http://schemas.microsoft.com/office/drawing/2014/chart" uri="{C3380CC4-5D6E-409C-BE32-E72D297353CC}">
              <c16:uniqueId val="{00000000-D8C2-4B48-8BA8-A2837EF3399B}"/>
            </c:ext>
          </c:extLst>
        </c:ser>
        <c:dLbls>
          <c:showLegendKey val="0"/>
          <c:showVal val="0"/>
          <c:showCatName val="0"/>
          <c:showSerName val="0"/>
          <c:showPercent val="0"/>
          <c:showBubbleSize val="0"/>
        </c:dLbls>
        <c:gapWidth val="182"/>
        <c:axId val="1311520752"/>
        <c:axId val="1311526992"/>
      </c:barChart>
      <c:catAx>
        <c:axId val="1311520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1526992"/>
        <c:crosses val="autoZero"/>
        <c:auto val="1"/>
        <c:lblAlgn val="ctr"/>
        <c:lblOffset val="100"/>
        <c:noMultiLvlLbl val="0"/>
      </c:catAx>
      <c:valAx>
        <c:axId val="1311526992"/>
        <c:scaling>
          <c:orientation val="minMax"/>
        </c:scaling>
        <c:delete val="1"/>
        <c:axPos val="b"/>
        <c:numFmt formatCode="General" sourceLinked="1"/>
        <c:majorTickMark val="none"/>
        <c:minorTickMark val="none"/>
        <c:tickLblPos val="nextTo"/>
        <c:crossAx val="131152075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Table!PivotTable5</c:name>
    <c:fmtId val="30"/>
  </c:pivotSource>
  <c:chart>
    <c:autoTitleDeleted val="1"/>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'Pivot Table'!$B$82</c:f>
              <c:strCache>
                <c:ptCount val="1"/>
                <c:pt idx="0">
                  <c:v>Total</c:v>
                </c:pt>
              </c:strCache>
            </c:strRef>
          </c:tx>
          <c:spPr>
            <a:solidFill>
              <a:schemeClr val="accent1"/>
            </a:solidFill>
            <a:ln>
              <a:noFill/>
            </a:ln>
            <a:effectLst/>
          </c:spPr>
          <c:invertIfNegative val="0"/>
          <c:cat>
            <c:strRef>
              <c:f>'Pivot Table'!$A$83:$A$86</c:f>
              <c:strCache>
                <c:ptCount val="3"/>
                <c:pt idx="0">
                  <c:v>Ganesh</c:v>
                </c:pt>
                <c:pt idx="1">
                  <c:v>Gopi</c:v>
                </c:pt>
                <c:pt idx="2">
                  <c:v>Kiran</c:v>
                </c:pt>
              </c:strCache>
            </c:strRef>
          </c:cat>
          <c:val>
            <c:numRef>
              <c:f>'Pivot Table'!$B$83:$B$86</c:f>
              <c:numCache>
                <c:formatCode>General</c:formatCode>
                <c:ptCount val="3"/>
                <c:pt idx="0">
                  <c:v>1687</c:v>
                </c:pt>
                <c:pt idx="1">
                  <c:v>1534</c:v>
                </c:pt>
                <c:pt idx="2">
                  <c:v>1407</c:v>
                </c:pt>
              </c:numCache>
            </c:numRef>
          </c:val>
          <c:extLst>
            <c:ext xmlns:c16="http://schemas.microsoft.com/office/drawing/2014/chart" uri="{C3380CC4-5D6E-409C-BE32-E72D297353CC}">
              <c16:uniqueId val="{00000000-8C10-4278-A12E-11069307802A}"/>
            </c:ext>
          </c:extLst>
        </c:ser>
        <c:dLbls>
          <c:showLegendKey val="0"/>
          <c:showVal val="0"/>
          <c:showCatName val="0"/>
          <c:showSerName val="0"/>
          <c:showPercent val="0"/>
          <c:showBubbleSize val="0"/>
        </c:dLbls>
        <c:gapWidth val="182"/>
        <c:axId val="1385804864"/>
        <c:axId val="1385795296"/>
      </c:barChart>
      <c:catAx>
        <c:axId val="13858048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5795296"/>
        <c:crosses val="autoZero"/>
        <c:auto val="1"/>
        <c:lblAlgn val="ctr"/>
        <c:lblOffset val="100"/>
        <c:noMultiLvlLbl val="0"/>
      </c:catAx>
      <c:valAx>
        <c:axId val="1385795296"/>
        <c:scaling>
          <c:orientation val="minMax"/>
        </c:scaling>
        <c:delete val="1"/>
        <c:axPos val="b"/>
        <c:numFmt formatCode="General" sourceLinked="1"/>
        <c:majorTickMark val="none"/>
        <c:minorTickMark val="none"/>
        <c:tickLblPos val="nextTo"/>
        <c:crossAx val="13858048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Table!PivotTable6</c:name>
    <c:fmtId val="28"/>
  </c:pivotSource>
  <c:chart>
    <c:autoTitleDeleted val="1"/>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'Pivot Table'!$B$91</c:f>
              <c:strCache>
                <c:ptCount val="1"/>
                <c:pt idx="0">
                  <c:v>Total</c:v>
                </c:pt>
              </c:strCache>
            </c:strRef>
          </c:tx>
          <c:spPr>
            <a:solidFill>
              <a:schemeClr val="accent1"/>
            </a:solidFill>
            <a:ln>
              <a:noFill/>
            </a:ln>
            <a:effectLst/>
          </c:spPr>
          <c:invertIfNegative val="0"/>
          <c:cat>
            <c:strRef>
              <c:f>'Pivot Table'!$A$92:$A$95</c:f>
              <c:strCache>
                <c:ptCount val="3"/>
                <c:pt idx="0">
                  <c:v>Mahesh</c:v>
                </c:pt>
                <c:pt idx="1">
                  <c:v>Prathap</c:v>
                </c:pt>
                <c:pt idx="2">
                  <c:v>Ramesh</c:v>
                </c:pt>
              </c:strCache>
            </c:strRef>
          </c:cat>
          <c:val>
            <c:numRef>
              <c:f>'Pivot Table'!$B$92:$B$95</c:f>
              <c:numCache>
                <c:formatCode>General</c:formatCode>
                <c:ptCount val="3"/>
                <c:pt idx="0">
                  <c:v>810</c:v>
                </c:pt>
                <c:pt idx="1">
                  <c:v>1285</c:v>
                </c:pt>
                <c:pt idx="2">
                  <c:v>947</c:v>
                </c:pt>
              </c:numCache>
            </c:numRef>
          </c:val>
          <c:extLst>
            <c:ext xmlns:c16="http://schemas.microsoft.com/office/drawing/2014/chart" uri="{C3380CC4-5D6E-409C-BE32-E72D297353CC}">
              <c16:uniqueId val="{00000000-4D04-440B-8C95-FBBF4DBCDA7D}"/>
            </c:ext>
          </c:extLst>
        </c:ser>
        <c:dLbls>
          <c:showLegendKey val="0"/>
          <c:showVal val="0"/>
          <c:showCatName val="0"/>
          <c:showSerName val="0"/>
          <c:showPercent val="0"/>
          <c:showBubbleSize val="0"/>
        </c:dLbls>
        <c:gapWidth val="182"/>
        <c:axId val="1385788224"/>
        <c:axId val="1385789472"/>
      </c:barChart>
      <c:catAx>
        <c:axId val="13857882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5789472"/>
        <c:crosses val="autoZero"/>
        <c:auto val="1"/>
        <c:lblAlgn val="ctr"/>
        <c:lblOffset val="100"/>
        <c:noMultiLvlLbl val="0"/>
      </c:catAx>
      <c:valAx>
        <c:axId val="1385789472"/>
        <c:scaling>
          <c:orientation val="minMax"/>
        </c:scaling>
        <c:delete val="1"/>
        <c:axPos val="b"/>
        <c:numFmt formatCode="General" sourceLinked="1"/>
        <c:majorTickMark val="none"/>
        <c:minorTickMark val="none"/>
        <c:tickLblPos val="nextTo"/>
        <c:crossAx val="138578822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Table!PivotTable7</c:name>
    <c:fmtId val="26"/>
  </c:pivotSource>
  <c:chart>
    <c:autoTitleDeleted val="1"/>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'Pivot Table'!$B$98</c:f>
              <c:strCache>
                <c:ptCount val="1"/>
                <c:pt idx="0">
                  <c:v>Total</c:v>
                </c:pt>
              </c:strCache>
            </c:strRef>
          </c:tx>
          <c:spPr>
            <a:solidFill>
              <a:schemeClr val="accent1"/>
            </a:solidFill>
            <a:ln>
              <a:noFill/>
            </a:ln>
            <a:effectLst/>
          </c:spPr>
          <c:invertIfNegative val="0"/>
          <c:cat>
            <c:strRef>
              <c:f>'Pivot Table'!$A$99:$A$105</c:f>
              <c:strCache>
                <c:ptCount val="6"/>
                <c:pt idx="0">
                  <c:v>Ganesh</c:v>
                </c:pt>
                <c:pt idx="1">
                  <c:v>Gopi</c:v>
                </c:pt>
                <c:pt idx="2">
                  <c:v>Kiran</c:v>
                </c:pt>
                <c:pt idx="3">
                  <c:v>Mahesh</c:v>
                </c:pt>
                <c:pt idx="4">
                  <c:v>Prathap</c:v>
                </c:pt>
                <c:pt idx="5">
                  <c:v>Ramesh</c:v>
                </c:pt>
              </c:strCache>
            </c:strRef>
          </c:cat>
          <c:val>
            <c:numRef>
              <c:f>'Pivot Table'!$B$99:$B$105</c:f>
              <c:numCache>
                <c:formatCode>General</c:formatCode>
                <c:ptCount val="6"/>
                <c:pt idx="0">
                  <c:v>1687</c:v>
                </c:pt>
                <c:pt idx="1">
                  <c:v>1534</c:v>
                </c:pt>
                <c:pt idx="2">
                  <c:v>1407</c:v>
                </c:pt>
                <c:pt idx="3">
                  <c:v>810</c:v>
                </c:pt>
                <c:pt idx="4">
                  <c:v>1285</c:v>
                </c:pt>
                <c:pt idx="5">
                  <c:v>947</c:v>
                </c:pt>
              </c:numCache>
            </c:numRef>
          </c:val>
          <c:extLst>
            <c:ext xmlns:c16="http://schemas.microsoft.com/office/drawing/2014/chart" uri="{C3380CC4-5D6E-409C-BE32-E72D297353CC}">
              <c16:uniqueId val="{00000000-4DBE-4989-9099-3BAFF34993B5}"/>
            </c:ext>
          </c:extLst>
        </c:ser>
        <c:dLbls>
          <c:showLegendKey val="0"/>
          <c:showVal val="0"/>
          <c:showCatName val="0"/>
          <c:showSerName val="0"/>
          <c:showPercent val="0"/>
          <c:showBubbleSize val="0"/>
        </c:dLbls>
        <c:gapWidth val="219"/>
        <c:overlap val="-27"/>
        <c:axId val="1385803616"/>
        <c:axId val="1385812352"/>
      </c:barChart>
      <c:catAx>
        <c:axId val="1385803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5812352"/>
        <c:crosses val="autoZero"/>
        <c:auto val="1"/>
        <c:lblAlgn val="ctr"/>
        <c:lblOffset val="100"/>
        <c:noMultiLvlLbl val="0"/>
      </c:catAx>
      <c:valAx>
        <c:axId val="1385812352"/>
        <c:scaling>
          <c:orientation val="minMax"/>
        </c:scaling>
        <c:delete val="1"/>
        <c:axPos val="l"/>
        <c:numFmt formatCode="General" sourceLinked="1"/>
        <c:majorTickMark val="none"/>
        <c:minorTickMark val="none"/>
        <c:tickLblPos val="nextTo"/>
        <c:crossAx val="138580361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Table!PivotTable13</c:name>
    <c:fmtId val="5"/>
  </c:pivotSource>
  <c:chart>
    <c:autoTitleDeleted val="1"/>
    <c:pivotFmts>
      <c:pivotFmt>
        <c:idx val="0"/>
        <c:spPr>
          <a:solidFill>
            <a:schemeClr val="accent1"/>
          </a:solidFill>
          <a:ln w="28575" cap="rnd">
            <a:solidFill>
              <a:schemeClr val="accent1"/>
            </a:solidFill>
            <a:round/>
          </a:ln>
          <a:effectLst/>
        </c:spPr>
      </c:pivotFmt>
      <c:pivotFmt>
        <c:idx val="1"/>
        <c:spPr>
          <a:solidFill>
            <a:schemeClr val="accent1"/>
          </a:solidFill>
          <a:ln w="28575" cap="rnd">
            <a:solidFill>
              <a:schemeClr val="accent1"/>
            </a:solidFill>
            <a:round/>
          </a:ln>
          <a:effectLst/>
        </c:spPr>
      </c:pivotFmt>
      <c:pivotFmt>
        <c:idx val="2"/>
        <c:spPr>
          <a:ln w="28575" cap="rnd">
            <a:solidFill>
              <a:schemeClr val="accent1"/>
            </a:solidFill>
            <a:round/>
          </a:ln>
          <a:effectLst/>
        </c:spPr>
        <c:marker>
          <c:symbol val="none"/>
        </c:marker>
      </c:pivotFmt>
    </c:pivotFmts>
    <c:plotArea>
      <c:layout/>
      <c:lineChart>
        <c:grouping val="standard"/>
        <c:varyColors val="0"/>
        <c:ser>
          <c:idx val="0"/>
          <c:order val="0"/>
          <c:tx>
            <c:strRef>
              <c:f>'Pivot Table'!$B$1</c:f>
              <c:strCache>
                <c:ptCount val="1"/>
                <c:pt idx="0">
                  <c:v>Total</c:v>
                </c:pt>
              </c:strCache>
            </c:strRef>
          </c:tx>
          <c:spPr>
            <a:ln w="28575" cap="rnd">
              <a:solidFill>
                <a:schemeClr val="accent1"/>
              </a:solidFill>
              <a:round/>
            </a:ln>
            <a:effectLst/>
          </c:spPr>
          <c:marker>
            <c:symbol val="none"/>
          </c:marker>
          <c:cat>
            <c:strRef>
              <c:f>'Pivot Table'!$A$2:$A$14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Table'!$B$2:$B$14</c:f>
              <c:numCache>
                <c:formatCode>General</c:formatCode>
                <c:ptCount val="12"/>
                <c:pt idx="0">
                  <c:v>11587825</c:v>
                </c:pt>
                <c:pt idx="1">
                  <c:v>9933052</c:v>
                </c:pt>
                <c:pt idx="2">
                  <c:v>5651655</c:v>
                </c:pt>
                <c:pt idx="3">
                  <c:v>2588013</c:v>
                </c:pt>
                <c:pt idx="4">
                  <c:v>8435834</c:v>
                </c:pt>
                <c:pt idx="5">
                  <c:v>3751547</c:v>
                </c:pt>
                <c:pt idx="6">
                  <c:v>18122063</c:v>
                </c:pt>
                <c:pt idx="7">
                  <c:v>10988474</c:v>
                </c:pt>
                <c:pt idx="8">
                  <c:v>13532478</c:v>
                </c:pt>
                <c:pt idx="9">
                  <c:v>16467945</c:v>
                </c:pt>
                <c:pt idx="10">
                  <c:v>5605463</c:v>
                </c:pt>
                <c:pt idx="11">
                  <c:v>12067544</c:v>
                </c:pt>
              </c:numCache>
            </c:numRef>
          </c:val>
          <c:smooth val="0"/>
          <c:extLst>
            <c:ext xmlns:c16="http://schemas.microsoft.com/office/drawing/2014/chart" uri="{C3380CC4-5D6E-409C-BE32-E72D297353CC}">
              <c16:uniqueId val="{00000000-22D0-4D43-9DA6-ED980410992C}"/>
            </c:ext>
          </c:extLst>
        </c:ser>
        <c:dLbls>
          <c:showLegendKey val="0"/>
          <c:showVal val="0"/>
          <c:showCatName val="0"/>
          <c:showSerName val="0"/>
          <c:showPercent val="0"/>
          <c:showBubbleSize val="0"/>
        </c:dLbls>
        <c:smooth val="0"/>
        <c:axId val="130952704"/>
        <c:axId val="130950624"/>
      </c:lineChart>
      <c:catAx>
        <c:axId val="130952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950624"/>
        <c:crosses val="autoZero"/>
        <c:auto val="1"/>
        <c:lblAlgn val="ctr"/>
        <c:lblOffset val="100"/>
        <c:noMultiLvlLbl val="0"/>
      </c:catAx>
      <c:valAx>
        <c:axId val="130950624"/>
        <c:scaling>
          <c:orientation val="minMax"/>
        </c:scaling>
        <c:delete val="1"/>
        <c:axPos val="l"/>
        <c:numFmt formatCode="General" sourceLinked="1"/>
        <c:majorTickMark val="none"/>
        <c:minorTickMark val="none"/>
        <c:tickLblPos val="nextTo"/>
        <c:crossAx val="13095270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Table!PivotTable14</c:name>
    <c:fmtId val="10"/>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'Pivot Table'!$B$18</c:f>
              <c:strCache>
                <c:ptCount val="1"/>
                <c:pt idx="0">
                  <c:v>Total</c:v>
                </c:pt>
              </c:strCache>
            </c:strRef>
          </c:tx>
          <c:spPr>
            <a:solidFill>
              <a:schemeClr val="accent1"/>
            </a:solidFill>
            <a:ln>
              <a:noFill/>
            </a:ln>
            <a:effectLst/>
          </c:spPr>
          <c:invertIfNegative val="0"/>
          <c:cat>
            <c:strRef>
              <c:f>'Pivot Table'!$A$19:$A$25</c:f>
              <c:strCache>
                <c:ptCount val="6"/>
                <c:pt idx="0">
                  <c:v>Bapatla</c:v>
                </c:pt>
                <c:pt idx="1">
                  <c:v>Chirala</c:v>
                </c:pt>
                <c:pt idx="2">
                  <c:v>Guntur</c:v>
                </c:pt>
                <c:pt idx="3">
                  <c:v>Ongole</c:v>
                </c:pt>
                <c:pt idx="4">
                  <c:v>Tenali</c:v>
                </c:pt>
                <c:pt idx="5">
                  <c:v>Vijayawada</c:v>
                </c:pt>
              </c:strCache>
            </c:strRef>
          </c:cat>
          <c:val>
            <c:numRef>
              <c:f>'Pivot Table'!$B$19:$B$25</c:f>
              <c:numCache>
                <c:formatCode>General</c:formatCode>
                <c:ptCount val="6"/>
                <c:pt idx="0">
                  <c:v>16052685</c:v>
                </c:pt>
                <c:pt idx="1">
                  <c:v>16926316</c:v>
                </c:pt>
                <c:pt idx="2">
                  <c:v>19179514</c:v>
                </c:pt>
                <c:pt idx="3">
                  <c:v>10438408</c:v>
                </c:pt>
                <c:pt idx="4">
                  <c:v>41054876</c:v>
                </c:pt>
                <c:pt idx="5">
                  <c:v>15080094</c:v>
                </c:pt>
              </c:numCache>
            </c:numRef>
          </c:val>
          <c:extLst>
            <c:ext xmlns:c16="http://schemas.microsoft.com/office/drawing/2014/chart" uri="{C3380CC4-5D6E-409C-BE32-E72D297353CC}">
              <c16:uniqueId val="{00000000-735F-4B71-A20C-911958299B65}"/>
            </c:ext>
          </c:extLst>
        </c:ser>
        <c:dLbls>
          <c:showLegendKey val="0"/>
          <c:showVal val="0"/>
          <c:showCatName val="0"/>
          <c:showSerName val="0"/>
          <c:showPercent val="0"/>
          <c:showBubbleSize val="0"/>
        </c:dLbls>
        <c:gapWidth val="182"/>
        <c:axId val="130946880"/>
        <c:axId val="130971008"/>
      </c:barChart>
      <c:catAx>
        <c:axId val="1309468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971008"/>
        <c:crosses val="autoZero"/>
        <c:auto val="1"/>
        <c:lblAlgn val="ctr"/>
        <c:lblOffset val="100"/>
        <c:noMultiLvlLbl val="0"/>
      </c:catAx>
      <c:valAx>
        <c:axId val="130971008"/>
        <c:scaling>
          <c:orientation val="minMax"/>
        </c:scaling>
        <c:delete val="1"/>
        <c:axPos val="b"/>
        <c:numFmt formatCode="General" sourceLinked="1"/>
        <c:majorTickMark val="none"/>
        <c:minorTickMark val="none"/>
        <c:tickLblPos val="nextTo"/>
        <c:crossAx val="13094688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Table!PivotTable15</c:name>
    <c:fmtId val="14"/>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'Pivot Table'!$B$29</c:f>
              <c:strCache>
                <c:ptCount val="1"/>
                <c:pt idx="0">
                  <c:v>Total</c:v>
                </c:pt>
              </c:strCache>
            </c:strRef>
          </c:tx>
          <c:spPr>
            <a:solidFill>
              <a:schemeClr val="accent1"/>
            </a:solidFill>
            <a:ln>
              <a:noFill/>
            </a:ln>
            <a:effectLst/>
          </c:spPr>
          <c:invertIfNegative val="0"/>
          <c:cat>
            <c:strRef>
              <c:f>'Pivot Table'!$A$30:$A$36</c:f>
              <c:strCache>
                <c:ptCount val="6"/>
                <c:pt idx="0">
                  <c:v>4K LED TV's</c:v>
                </c:pt>
                <c:pt idx="1">
                  <c:v>Furniture</c:v>
                </c:pt>
                <c:pt idx="2">
                  <c:v>Laptops</c:v>
                </c:pt>
                <c:pt idx="3">
                  <c:v>LED TV's</c:v>
                </c:pt>
                <c:pt idx="4">
                  <c:v>Mobiles</c:v>
                </c:pt>
                <c:pt idx="5">
                  <c:v>Speakers</c:v>
                </c:pt>
              </c:strCache>
            </c:strRef>
          </c:cat>
          <c:val>
            <c:numRef>
              <c:f>'Pivot Table'!$B$30:$B$36</c:f>
              <c:numCache>
                <c:formatCode>General</c:formatCode>
                <c:ptCount val="6"/>
                <c:pt idx="0">
                  <c:v>46830474</c:v>
                </c:pt>
                <c:pt idx="1">
                  <c:v>5263843</c:v>
                </c:pt>
                <c:pt idx="2">
                  <c:v>48711017</c:v>
                </c:pt>
                <c:pt idx="3">
                  <c:v>3523539</c:v>
                </c:pt>
                <c:pt idx="4">
                  <c:v>10414063</c:v>
                </c:pt>
                <c:pt idx="5">
                  <c:v>3988957</c:v>
                </c:pt>
              </c:numCache>
            </c:numRef>
          </c:val>
          <c:extLst>
            <c:ext xmlns:c16="http://schemas.microsoft.com/office/drawing/2014/chart" uri="{C3380CC4-5D6E-409C-BE32-E72D297353CC}">
              <c16:uniqueId val="{00000000-1F36-43DB-A0D6-9EFAD527F70C}"/>
            </c:ext>
          </c:extLst>
        </c:ser>
        <c:dLbls>
          <c:showLegendKey val="0"/>
          <c:showVal val="0"/>
          <c:showCatName val="0"/>
          <c:showSerName val="0"/>
          <c:showPercent val="0"/>
          <c:showBubbleSize val="0"/>
        </c:dLbls>
        <c:gapWidth val="219"/>
        <c:overlap val="-27"/>
        <c:axId val="130955616"/>
        <c:axId val="130960608"/>
      </c:barChart>
      <c:catAx>
        <c:axId val="130955616"/>
        <c:scaling>
          <c:orientation val="minMax"/>
        </c:scaling>
        <c:delete val="1"/>
        <c:axPos val="b"/>
        <c:numFmt formatCode="General" sourceLinked="1"/>
        <c:majorTickMark val="none"/>
        <c:minorTickMark val="none"/>
        <c:tickLblPos val="nextTo"/>
        <c:crossAx val="130960608"/>
        <c:crosses val="autoZero"/>
        <c:auto val="1"/>
        <c:lblAlgn val="ctr"/>
        <c:lblOffset val="100"/>
        <c:noMultiLvlLbl val="0"/>
      </c:catAx>
      <c:valAx>
        <c:axId val="130960608"/>
        <c:scaling>
          <c:orientation val="minMax"/>
        </c:scaling>
        <c:delete val="1"/>
        <c:axPos val="l"/>
        <c:numFmt formatCode="General" sourceLinked="1"/>
        <c:majorTickMark val="none"/>
        <c:minorTickMark val="none"/>
        <c:tickLblPos val="nextTo"/>
        <c:crossAx val="13095561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Table!PivotTable4</c:name>
    <c:fmtId val="22"/>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 Table'!$B$67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Table'!$A$68:$A$74</c:f>
              <c:strCache>
                <c:ptCount val="6"/>
                <c:pt idx="0">
                  <c:v>4K LED TV's</c:v>
                </c:pt>
                <c:pt idx="1">
                  <c:v>Furniture</c:v>
                </c:pt>
                <c:pt idx="2">
                  <c:v>Laptops</c:v>
                </c:pt>
                <c:pt idx="3">
                  <c:v>LED TV's</c:v>
                </c:pt>
                <c:pt idx="4">
                  <c:v>Mobiles</c:v>
                </c:pt>
                <c:pt idx="5">
                  <c:v>Speakers</c:v>
                </c:pt>
              </c:strCache>
            </c:strRef>
          </c:cat>
          <c:val>
            <c:numRef>
              <c:f>'Pivot Table'!$B$68:$B$74</c:f>
              <c:numCache>
                <c:formatCode>General</c:formatCode>
                <c:ptCount val="6"/>
                <c:pt idx="0">
                  <c:v>1503</c:v>
                </c:pt>
                <c:pt idx="1">
                  <c:v>1233</c:v>
                </c:pt>
                <c:pt idx="2">
                  <c:v>1615</c:v>
                </c:pt>
                <c:pt idx="3">
                  <c:v>694</c:v>
                </c:pt>
                <c:pt idx="4">
                  <c:v>1168</c:v>
                </c:pt>
                <c:pt idx="5">
                  <c:v>1457</c:v>
                </c:pt>
              </c:numCache>
            </c:numRef>
          </c:val>
          <c:extLst>
            <c:ext xmlns:c16="http://schemas.microsoft.com/office/drawing/2014/chart" uri="{C3380CC4-5D6E-409C-BE32-E72D297353CC}">
              <c16:uniqueId val="{00000000-5EF5-4CEB-B3EC-65EC83CC9A53}"/>
            </c:ext>
          </c:extLst>
        </c:ser>
        <c:dLbls>
          <c:showLegendKey val="0"/>
          <c:showVal val="0"/>
          <c:showCatName val="0"/>
          <c:showSerName val="0"/>
          <c:showPercent val="0"/>
          <c:showBubbleSize val="0"/>
        </c:dLbls>
        <c:gapWidth val="219"/>
        <c:overlap val="-27"/>
        <c:axId val="1475800639"/>
        <c:axId val="1475801471"/>
      </c:barChart>
      <c:catAx>
        <c:axId val="1475800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5801471"/>
        <c:crosses val="autoZero"/>
        <c:auto val="1"/>
        <c:lblAlgn val="ctr"/>
        <c:lblOffset val="100"/>
        <c:noMultiLvlLbl val="0"/>
      </c:catAx>
      <c:valAx>
        <c:axId val="1475801471"/>
        <c:scaling>
          <c:orientation val="minMax"/>
        </c:scaling>
        <c:delete val="1"/>
        <c:axPos val="l"/>
        <c:numFmt formatCode="General" sourceLinked="1"/>
        <c:majorTickMark val="none"/>
        <c:minorTickMark val="none"/>
        <c:tickLblPos val="nextTo"/>
        <c:crossAx val="147580063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Table!PivotTable2</c:name>
    <c:fmtId val="33"/>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'Pivot Table'!$B$47</c:f>
              <c:strCache>
                <c:ptCount val="1"/>
                <c:pt idx="0">
                  <c:v>Total</c:v>
                </c:pt>
              </c:strCache>
            </c:strRef>
          </c:tx>
          <c:spPr>
            <a:solidFill>
              <a:schemeClr val="accent1"/>
            </a:solidFill>
            <a:ln>
              <a:noFill/>
            </a:ln>
            <a:effectLst/>
          </c:spPr>
          <c:invertIfNegative val="0"/>
          <c:cat>
            <c:strRef>
              <c:f>'Pivot Table'!$A$48:$A$51</c:f>
              <c:strCache>
                <c:ptCount val="3"/>
                <c:pt idx="0">
                  <c:v>4K LED TV's</c:v>
                </c:pt>
                <c:pt idx="1">
                  <c:v>Laptops</c:v>
                </c:pt>
                <c:pt idx="2">
                  <c:v>Mobiles</c:v>
                </c:pt>
              </c:strCache>
            </c:strRef>
          </c:cat>
          <c:val>
            <c:numRef>
              <c:f>'Pivot Table'!$B$48:$B$51</c:f>
              <c:numCache>
                <c:formatCode>General</c:formatCode>
                <c:ptCount val="3"/>
                <c:pt idx="0">
                  <c:v>46830474</c:v>
                </c:pt>
                <c:pt idx="1">
                  <c:v>48711017</c:v>
                </c:pt>
                <c:pt idx="2">
                  <c:v>10414063</c:v>
                </c:pt>
              </c:numCache>
            </c:numRef>
          </c:val>
          <c:extLst>
            <c:ext xmlns:c16="http://schemas.microsoft.com/office/drawing/2014/chart" uri="{C3380CC4-5D6E-409C-BE32-E72D297353CC}">
              <c16:uniqueId val="{00000000-1AE8-4CC9-B961-B344E2AB6FD2}"/>
            </c:ext>
          </c:extLst>
        </c:ser>
        <c:dLbls>
          <c:showLegendKey val="0"/>
          <c:showVal val="0"/>
          <c:showCatName val="0"/>
          <c:showSerName val="0"/>
          <c:showPercent val="0"/>
          <c:showBubbleSize val="0"/>
        </c:dLbls>
        <c:gapWidth val="182"/>
        <c:axId val="1551335263"/>
        <c:axId val="1551337759"/>
      </c:barChart>
      <c:catAx>
        <c:axId val="15513352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1337759"/>
        <c:crosses val="autoZero"/>
        <c:auto val="1"/>
        <c:lblAlgn val="ctr"/>
        <c:lblOffset val="100"/>
        <c:noMultiLvlLbl val="0"/>
      </c:catAx>
      <c:valAx>
        <c:axId val="1551337759"/>
        <c:scaling>
          <c:orientation val="minMax"/>
        </c:scaling>
        <c:delete val="1"/>
        <c:axPos val="b"/>
        <c:numFmt formatCode="General" sourceLinked="1"/>
        <c:majorTickMark val="none"/>
        <c:minorTickMark val="none"/>
        <c:tickLblPos val="nextTo"/>
        <c:crossAx val="155133526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Table!PivotTable3</c:name>
    <c:fmtId val="41"/>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'Pivot Table'!$B$55</c:f>
              <c:strCache>
                <c:ptCount val="1"/>
                <c:pt idx="0">
                  <c:v>Total</c:v>
                </c:pt>
              </c:strCache>
            </c:strRef>
          </c:tx>
          <c:spPr>
            <a:solidFill>
              <a:schemeClr val="accent1"/>
            </a:solidFill>
            <a:ln>
              <a:noFill/>
            </a:ln>
            <a:effectLst/>
          </c:spPr>
          <c:invertIfNegative val="0"/>
          <c:cat>
            <c:strRef>
              <c:f>'Pivot Table'!$A$56:$A$59</c:f>
              <c:strCache>
                <c:ptCount val="3"/>
                <c:pt idx="0">
                  <c:v>Furniture</c:v>
                </c:pt>
                <c:pt idx="1">
                  <c:v>LED TV's</c:v>
                </c:pt>
                <c:pt idx="2">
                  <c:v>Speakers</c:v>
                </c:pt>
              </c:strCache>
            </c:strRef>
          </c:cat>
          <c:val>
            <c:numRef>
              <c:f>'Pivot Table'!$B$56:$B$59</c:f>
              <c:numCache>
                <c:formatCode>General</c:formatCode>
                <c:ptCount val="3"/>
                <c:pt idx="0">
                  <c:v>5263843</c:v>
                </c:pt>
                <c:pt idx="1">
                  <c:v>3523539</c:v>
                </c:pt>
                <c:pt idx="2">
                  <c:v>3988957</c:v>
                </c:pt>
              </c:numCache>
            </c:numRef>
          </c:val>
          <c:extLst>
            <c:ext xmlns:c16="http://schemas.microsoft.com/office/drawing/2014/chart" uri="{C3380CC4-5D6E-409C-BE32-E72D297353CC}">
              <c16:uniqueId val="{00000000-92B5-4A67-9B63-D4796BD145BF}"/>
            </c:ext>
          </c:extLst>
        </c:ser>
        <c:dLbls>
          <c:showLegendKey val="0"/>
          <c:showVal val="0"/>
          <c:showCatName val="0"/>
          <c:showSerName val="0"/>
          <c:showPercent val="0"/>
          <c:showBubbleSize val="0"/>
        </c:dLbls>
        <c:gapWidth val="182"/>
        <c:axId val="1311520752"/>
        <c:axId val="1311526992"/>
      </c:barChart>
      <c:catAx>
        <c:axId val="1311520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1526992"/>
        <c:crosses val="autoZero"/>
        <c:auto val="1"/>
        <c:lblAlgn val="ctr"/>
        <c:lblOffset val="100"/>
        <c:noMultiLvlLbl val="0"/>
      </c:catAx>
      <c:valAx>
        <c:axId val="1311526992"/>
        <c:scaling>
          <c:orientation val="minMax"/>
        </c:scaling>
        <c:delete val="1"/>
        <c:axPos val="b"/>
        <c:numFmt formatCode="General" sourceLinked="1"/>
        <c:majorTickMark val="none"/>
        <c:minorTickMark val="none"/>
        <c:tickLblPos val="nextTo"/>
        <c:crossAx val="131152075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Table!PivotTable5</c:name>
    <c:fmtId val="32"/>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'Pivot Table'!$B$82</c:f>
              <c:strCache>
                <c:ptCount val="1"/>
                <c:pt idx="0">
                  <c:v>Total</c:v>
                </c:pt>
              </c:strCache>
            </c:strRef>
          </c:tx>
          <c:spPr>
            <a:solidFill>
              <a:schemeClr val="accent1"/>
            </a:solidFill>
            <a:ln>
              <a:noFill/>
            </a:ln>
            <a:effectLst/>
          </c:spPr>
          <c:invertIfNegative val="0"/>
          <c:cat>
            <c:strRef>
              <c:f>'Pivot Table'!$A$83:$A$86</c:f>
              <c:strCache>
                <c:ptCount val="3"/>
                <c:pt idx="0">
                  <c:v>Ganesh</c:v>
                </c:pt>
                <c:pt idx="1">
                  <c:v>Gopi</c:v>
                </c:pt>
                <c:pt idx="2">
                  <c:v>Kiran</c:v>
                </c:pt>
              </c:strCache>
            </c:strRef>
          </c:cat>
          <c:val>
            <c:numRef>
              <c:f>'Pivot Table'!$B$83:$B$86</c:f>
              <c:numCache>
                <c:formatCode>General</c:formatCode>
                <c:ptCount val="3"/>
                <c:pt idx="0">
                  <c:v>1687</c:v>
                </c:pt>
                <c:pt idx="1">
                  <c:v>1534</c:v>
                </c:pt>
                <c:pt idx="2">
                  <c:v>1407</c:v>
                </c:pt>
              </c:numCache>
            </c:numRef>
          </c:val>
          <c:extLst>
            <c:ext xmlns:c16="http://schemas.microsoft.com/office/drawing/2014/chart" uri="{C3380CC4-5D6E-409C-BE32-E72D297353CC}">
              <c16:uniqueId val="{00000000-2B22-4D51-A068-C88EEDD2232A}"/>
            </c:ext>
          </c:extLst>
        </c:ser>
        <c:dLbls>
          <c:showLegendKey val="0"/>
          <c:showVal val="0"/>
          <c:showCatName val="0"/>
          <c:showSerName val="0"/>
          <c:showPercent val="0"/>
          <c:showBubbleSize val="0"/>
        </c:dLbls>
        <c:gapWidth val="182"/>
        <c:axId val="1385804864"/>
        <c:axId val="1385795296"/>
      </c:barChart>
      <c:catAx>
        <c:axId val="13858048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5795296"/>
        <c:crosses val="autoZero"/>
        <c:auto val="1"/>
        <c:lblAlgn val="ctr"/>
        <c:lblOffset val="100"/>
        <c:noMultiLvlLbl val="0"/>
      </c:catAx>
      <c:valAx>
        <c:axId val="1385795296"/>
        <c:scaling>
          <c:orientation val="minMax"/>
        </c:scaling>
        <c:delete val="1"/>
        <c:axPos val="b"/>
        <c:numFmt formatCode="General" sourceLinked="1"/>
        <c:majorTickMark val="none"/>
        <c:minorTickMark val="none"/>
        <c:tickLblPos val="nextTo"/>
        <c:crossAx val="13858048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Table!PivotTable6</c:name>
    <c:fmtId val="30"/>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'Pivot Table'!$B$91</c:f>
              <c:strCache>
                <c:ptCount val="1"/>
                <c:pt idx="0">
                  <c:v>Total</c:v>
                </c:pt>
              </c:strCache>
            </c:strRef>
          </c:tx>
          <c:spPr>
            <a:solidFill>
              <a:schemeClr val="accent1"/>
            </a:solidFill>
            <a:ln>
              <a:noFill/>
            </a:ln>
            <a:effectLst/>
          </c:spPr>
          <c:invertIfNegative val="0"/>
          <c:cat>
            <c:strRef>
              <c:f>'Pivot Table'!$A$92:$A$95</c:f>
              <c:strCache>
                <c:ptCount val="3"/>
                <c:pt idx="0">
                  <c:v>Mahesh</c:v>
                </c:pt>
                <c:pt idx="1">
                  <c:v>Prathap</c:v>
                </c:pt>
                <c:pt idx="2">
                  <c:v>Ramesh</c:v>
                </c:pt>
              </c:strCache>
            </c:strRef>
          </c:cat>
          <c:val>
            <c:numRef>
              <c:f>'Pivot Table'!$B$92:$B$95</c:f>
              <c:numCache>
                <c:formatCode>General</c:formatCode>
                <c:ptCount val="3"/>
                <c:pt idx="0">
                  <c:v>810</c:v>
                </c:pt>
                <c:pt idx="1">
                  <c:v>1285</c:v>
                </c:pt>
                <c:pt idx="2">
                  <c:v>947</c:v>
                </c:pt>
              </c:numCache>
            </c:numRef>
          </c:val>
          <c:extLst>
            <c:ext xmlns:c16="http://schemas.microsoft.com/office/drawing/2014/chart" uri="{C3380CC4-5D6E-409C-BE32-E72D297353CC}">
              <c16:uniqueId val="{00000000-A8FA-43DC-B51E-26D40F655757}"/>
            </c:ext>
          </c:extLst>
        </c:ser>
        <c:dLbls>
          <c:showLegendKey val="0"/>
          <c:showVal val="0"/>
          <c:showCatName val="0"/>
          <c:showSerName val="0"/>
          <c:showPercent val="0"/>
          <c:showBubbleSize val="0"/>
        </c:dLbls>
        <c:gapWidth val="182"/>
        <c:axId val="1385788224"/>
        <c:axId val="1385789472"/>
      </c:barChart>
      <c:catAx>
        <c:axId val="13857882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5789472"/>
        <c:crosses val="autoZero"/>
        <c:auto val="1"/>
        <c:lblAlgn val="ctr"/>
        <c:lblOffset val="100"/>
        <c:noMultiLvlLbl val="0"/>
      </c:catAx>
      <c:valAx>
        <c:axId val="1385789472"/>
        <c:scaling>
          <c:orientation val="minMax"/>
        </c:scaling>
        <c:delete val="1"/>
        <c:axPos val="b"/>
        <c:numFmt formatCode="General" sourceLinked="1"/>
        <c:majorTickMark val="none"/>
        <c:minorTickMark val="none"/>
        <c:tickLblPos val="nextTo"/>
        <c:crossAx val="138578822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 Project.xlsx]Pivot Table!PivotTable7</c:name>
    <c:fmtId val="28"/>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'Pivot Table'!$B$98</c:f>
              <c:strCache>
                <c:ptCount val="1"/>
                <c:pt idx="0">
                  <c:v>Total</c:v>
                </c:pt>
              </c:strCache>
            </c:strRef>
          </c:tx>
          <c:spPr>
            <a:solidFill>
              <a:schemeClr val="accent1"/>
            </a:solidFill>
            <a:ln>
              <a:noFill/>
            </a:ln>
            <a:effectLst/>
          </c:spPr>
          <c:invertIfNegative val="0"/>
          <c:cat>
            <c:strRef>
              <c:f>'Pivot Table'!$A$99:$A$105</c:f>
              <c:strCache>
                <c:ptCount val="6"/>
                <c:pt idx="0">
                  <c:v>Ganesh</c:v>
                </c:pt>
                <c:pt idx="1">
                  <c:v>Gopi</c:v>
                </c:pt>
                <c:pt idx="2">
                  <c:v>Kiran</c:v>
                </c:pt>
                <c:pt idx="3">
                  <c:v>Mahesh</c:v>
                </c:pt>
                <c:pt idx="4">
                  <c:v>Prathap</c:v>
                </c:pt>
                <c:pt idx="5">
                  <c:v>Ramesh</c:v>
                </c:pt>
              </c:strCache>
            </c:strRef>
          </c:cat>
          <c:val>
            <c:numRef>
              <c:f>'Pivot Table'!$B$99:$B$105</c:f>
              <c:numCache>
                <c:formatCode>General</c:formatCode>
                <c:ptCount val="6"/>
                <c:pt idx="0">
                  <c:v>1687</c:v>
                </c:pt>
                <c:pt idx="1">
                  <c:v>1534</c:v>
                </c:pt>
                <c:pt idx="2">
                  <c:v>1407</c:v>
                </c:pt>
                <c:pt idx="3">
                  <c:v>810</c:v>
                </c:pt>
                <c:pt idx="4">
                  <c:v>1285</c:v>
                </c:pt>
                <c:pt idx="5">
                  <c:v>947</c:v>
                </c:pt>
              </c:numCache>
            </c:numRef>
          </c:val>
          <c:extLst>
            <c:ext xmlns:c16="http://schemas.microsoft.com/office/drawing/2014/chart" uri="{C3380CC4-5D6E-409C-BE32-E72D297353CC}">
              <c16:uniqueId val="{00000000-3FB3-4D25-8596-02A0D6F5E6B5}"/>
            </c:ext>
          </c:extLst>
        </c:ser>
        <c:dLbls>
          <c:showLegendKey val="0"/>
          <c:showVal val="0"/>
          <c:showCatName val="0"/>
          <c:showSerName val="0"/>
          <c:showPercent val="0"/>
          <c:showBubbleSize val="0"/>
        </c:dLbls>
        <c:gapWidth val="219"/>
        <c:overlap val="-27"/>
        <c:axId val="1385803616"/>
        <c:axId val="1385812352"/>
      </c:barChart>
      <c:catAx>
        <c:axId val="1385803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5812352"/>
        <c:crosses val="autoZero"/>
        <c:auto val="1"/>
        <c:lblAlgn val="ctr"/>
        <c:lblOffset val="100"/>
        <c:noMultiLvlLbl val="0"/>
      </c:catAx>
      <c:valAx>
        <c:axId val="1385812352"/>
        <c:scaling>
          <c:orientation val="minMax"/>
        </c:scaling>
        <c:delete val="1"/>
        <c:axPos val="l"/>
        <c:numFmt formatCode="General" sourceLinked="1"/>
        <c:majorTickMark val="none"/>
        <c:minorTickMark val="none"/>
        <c:tickLblPos val="nextTo"/>
        <c:crossAx val="138580361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3" Type="http://schemas.openxmlformats.org/officeDocument/2006/relationships/hyperlink" Target="#Salesman!A1"/><Relationship Id="rId7" Type="http://schemas.openxmlformats.org/officeDocument/2006/relationships/chart" Target="../charts/chart12.xml"/><Relationship Id="rId2" Type="http://schemas.openxmlformats.org/officeDocument/2006/relationships/hyperlink" Target="#Product!A1"/><Relationship Id="rId1" Type="http://schemas.openxmlformats.org/officeDocument/2006/relationships/image" Target="../media/image1.jpeg"/><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hyperlink" Target="#About!A1"/></Relationships>
</file>

<file path=xl/drawings/_rels/drawing3.xml.rels><?xml version="1.0" encoding="UTF-8" standalone="yes"?>
<Relationships xmlns="http://schemas.openxmlformats.org/package/2006/relationships"><Relationship Id="rId3" Type="http://schemas.openxmlformats.org/officeDocument/2006/relationships/hyperlink" Target="#Salesman!A1"/><Relationship Id="rId7" Type="http://schemas.openxmlformats.org/officeDocument/2006/relationships/chart" Target="../charts/chart15.xml"/><Relationship Id="rId2" Type="http://schemas.openxmlformats.org/officeDocument/2006/relationships/hyperlink" Target="#'Dash Board'!A1"/><Relationship Id="rId1" Type="http://schemas.openxmlformats.org/officeDocument/2006/relationships/image" Target="../media/image1.jpeg"/><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hyperlink" Target="#About!A1"/></Relationships>
</file>

<file path=xl/drawings/_rels/drawing4.xml.rels><?xml version="1.0" encoding="UTF-8" standalone="yes"?>
<Relationships xmlns="http://schemas.openxmlformats.org/package/2006/relationships"><Relationship Id="rId3" Type="http://schemas.openxmlformats.org/officeDocument/2006/relationships/hyperlink" Target="#Product!A1"/><Relationship Id="rId7" Type="http://schemas.openxmlformats.org/officeDocument/2006/relationships/chart" Target="../charts/chart18.xml"/><Relationship Id="rId2" Type="http://schemas.openxmlformats.org/officeDocument/2006/relationships/hyperlink" Target="#'Dash Board'!A1"/><Relationship Id="rId1" Type="http://schemas.openxmlformats.org/officeDocument/2006/relationships/image" Target="../media/image1.jpeg"/><Relationship Id="rId6" Type="http://schemas.openxmlformats.org/officeDocument/2006/relationships/chart" Target="../charts/chart17.xml"/><Relationship Id="rId5" Type="http://schemas.openxmlformats.org/officeDocument/2006/relationships/chart" Target="../charts/chart16.xml"/><Relationship Id="rId4" Type="http://schemas.openxmlformats.org/officeDocument/2006/relationships/hyperlink" Target="#About!A1"/></Relationships>
</file>

<file path=xl/drawings/_rels/drawing5.xml.rels><?xml version="1.0" encoding="UTF-8" standalone="yes"?>
<Relationships xmlns="http://schemas.openxmlformats.org/package/2006/relationships"><Relationship Id="rId3" Type="http://schemas.openxmlformats.org/officeDocument/2006/relationships/hyperlink" Target="#Salesman!A1"/><Relationship Id="rId2" Type="http://schemas.openxmlformats.org/officeDocument/2006/relationships/hyperlink" Target="#Product!A1"/><Relationship Id="rId1" Type="http://schemas.openxmlformats.org/officeDocument/2006/relationships/hyperlink" Target="#'Dash Board'!A1"/><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2</xdr:col>
      <xdr:colOff>404812</xdr:colOff>
      <xdr:row>1</xdr:row>
      <xdr:rowOff>9525</xdr:rowOff>
    </xdr:from>
    <xdr:to>
      <xdr:col>8</xdr:col>
      <xdr:colOff>404812</xdr:colOff>
      <xdr:row>12</xdr:row>
      <xdr:rowOff>161925</xdr:rowOff>
    </xdr:to>
    <xdr:graphicFrame macro="">
      <xdr:nvGraphicFramePr>
        <xdr:cNvPr id="16" name="Chart 1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581024</xdr:colOff>
      <xdr:row>8</xdr:row>
      <xdr:rowOff>57150</xdr:rowOff>
    </xdr:from>
    <xdr:to>
      <xdr:col>14</xdr:col>
      <xdr:colOff>209549</xdr:colOff>
      <xdr:row>14</xdr:row>
      <xdr:rowOff>28575</xdr:rowOff>
    </xdr:to>
    <mc:AlternateContent xmlns:mc="http://schemas.openxmlformats.org/markup-compatibility/2006" xmlns:a14="http://schemas.microsoft.com/office/drawing/2010/main">
      <mc:Choice Requires="a14">
        <xdr:graphicFrame macro="">
          <xdr:nvGraphicFramePr>
            <xdr:cNvPr id="17" name="Place"/>
            <xdr:cNvGraphicFramePr/>
          </xdr:nvGraphicFramePr>
          <xdr:xfrm>
            <a:off x="0" y="0"/>
            <a:ext cx="0" cy="0"/>
          </xdr:xfrm>
          <a:graphic>
            <a:graphicData uri="http://schemas.microsoft.com/office/drawing/2010/slicer">
              <sle:slicer xmlns:sle="http://schemas.microsoft.com/office/drawing/2010/slicer" name="Place"/>
            </a:graphicData>
          </a:graphic>
        </xdr:graphicFrame>
      </mc:Choice>
      <mc:Fallback xmlns="">
        <xdr:sp macro="" textlink="">
          <xdr:nvSpPr>
            <xdr:cNvPr id="0" name=""/>
            <xdr:cNvSpPr>
              <a:spLocks noTextEdit="1"/>
            </xdr:cNvSpPr>
          </xdr:nvSpPr>
          <xdr:spPr>
            <a:xfrm>
              <a:off x="7324724" y="1504950"/>
              <a:ext cx="3743325" cy="1228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609600</xdr:colOff>
      <xdr:row>1</xdr:row>
      <xdr:rowOff>19050</xdr:rowOff>
    </xdr:from>
    <xdr:to>
      <xdr:col>14</xdr:col>
      <xdr:colOff>209549</xdr:colOff>
      <xdr:row>6</xdr:row>
      <xdr:rowOff>152400</xdr:rowOff>
    </xdr:to>
    <mc:AlternateContent xmlns:mc="http://schemas.openxmlformats.org/markup-compatibility/2006" xmlns:tsle="http://schemas.microsoft.com/office/drawing/2012/timeslicer">
      <mc:Choice Requires="tsle">
        <xdr:graphicFrame macro="">
          <xdr:nvGraphicFramePr>
            <xdr:cNvPr id="18" name="Date"/>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7353300" y="200025"/>
              <a:ext cx="3714749" cy="1181100"/>
            </a:xfrm>
            <a:prstGeom prst="rect">
              <a:avLst/>
            </a:prstGeom>
            <a:solidFill>
              <a:prstClr val="white"/>
            </a:solidFill>
            <a:ln w="1">
              <a:solidFill>
                <a:prstClr val="green"/>
              </a:solidFill>
            </a:ln>
          </xdr:spPr>
          <xdr:txBody>
            <a:bodyPr vertOverflow="clip" horzOverflow="clip"/>
            <a:lstStyle/>
            <a:p>
              <a:r>
                <a:rPr lang="en-IN" sz="1100"/>
                <a:t>Timeline: Works in Excel or higher. Do not move or resize.</a:t>
              </a:r>
            </a:p>
          </xdr:txBody>
        </xdr:sp>
      </mc:Fallback>
    </mc:AlternateContent>
    <xdr:clientData/>
  </xdr:twoCellAnchor>
  <xdr:twoCellAnchor>
    <xdr:from>
      <xdr:col>2</xdr:col>
      <xdr:colOff>319087</xdr:colOff>
      <xdr:row>15</xdr:row>
      <xdr:rowOff>114300</xdr:rowOff>
    </xdr:from>
    <xdr:to>
      <xdr:col>8</xdr:col>
      <xdr:colOff>319087</xdr:colOff>
      <xdr:row>26</xdr:row>
      <xdr:rowOff>9525</xdr:rowOff>
    </xdr:to>
    <xdr:graphicFrame macro="">
      <xdr:nvGraphicFramePr>
        <xdr:cNvPr id="19" name="Chart 1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476250</xdr:colOff>
      <xdr:row>17</xdr:row>
      <xdr:rowOff>66676</xdr:rowOff>
    </xdr:from>
    <xdr:to>
      <xdr:col>14</xdr:col>
      <xdr:colOff>638175</xdr:colOff>
      <xdr:row>20</xdr:row>
      <xdr:rowOff>180976</xdr:rowOff>
    </xdr:to>
    <mc:AlternateContent xmlns:mc="http://schemas.openxmlformats.org/markup-compatibility/2006" xmlns:a14="http://schemas.microsoft.com/office/drawing/2010/main">
      <mc:Choice Requires="a14">
        <xdr:graphicFrame macro="">
          <xdr:nvGraphicFramePr>
            <xdr:cNvPr id="20" name="Products"/>
            <xdr:cNvGraphicFramePr/>
          </xdr:nvGraphicFramePr>
          <xdr:xfrm>
            <a:off x="0" y="0"/>
            <a:ext cx="0" cy="0"/>
          </xdr:xfrm>
          <a:graphic>
            <a:graphicData uri="http://schemas.microsoft.com/office/drawing/2010/slicer">
              <sle:slicer xmlns:sle="http://schemas.microsoft.com/office/drawing/2010/slicer" name="Products"/>
            </a:graphicData>
          </a:graphic>
        </xdr:graphicFrame>
      </mc:Choice>
      <mc:Fallback xmlns="">
        <xdr:sp macro="" textlink="">
          <xdr:nvSpPr>
            <xdr:cNvPr id="0" name=""/>
            <xdr:cNvSpPr>
              <a:spLocks noTextEdit="1"/>
            </xdr:cNvSpPr>
          </xdr:nvSpPr>
          <xdr:spPr>
            <a:xfrm>
              <a:off x="3790950" y="3143251"/>
              <a:ext cx="7705725" cy="7429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390525</xdr:colOff>
      <xdr:row>25</xdr:row>
      <xdr:rowOff>133350</xdr:rowOff>
    </xdr:from>
    <xdr:to>
      <xdr:col>8</xdr:col>
      <xdr:colOff>390525</xdr:colOff>
      <xdr:row>35</xdr:row>
      <xdr:rowOff>114300</xdr:rowOff>
    </xdr:to>
    <xdr:graphicFrame macro="">
      <xdr:nvGraphicFramePr>
        <xdr:cNvPr id="21" name="Chart 2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947737</xdr:colOff>
      <xdr:row>63</xdr:row>
      <xdr:rowOff>19050</xdr:rowOff>
    </xdr:from>
    <xdr:to>
      <xdr:col>9</xdr:col>
      <xdr:colOff>261937</xdr:colOff>
      <xdr:row>78</xdr:row>
      <xdr:rowOff>47625</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361950</xdr:colOff>
      <xdr:row>41</xdr:row>
      <xdr:rowOff>19050</xdr:rowOff>
    </xdr:from>
    <xdr:to>
      <xdr:col>11</xdr:col>
      <xdr:colOff>133350</xdr:colOff>
      <xdr:row>50</xdr:row>
      <xdr:rowOff>9525</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1114425</xdr:colOff>
      <xdr:row>52</xdr:row>
      <xdr:rowOff>66675</xdr:rowOff>
    </xdr:from>
    <xdr:to>
      <xdr:col>9</xdr:col>
      <xdr:colOff>428625</xdr:colOff>
      <xdr:row>61</xdr:row>
      <xdr:rowOff>142875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947737</xdr:colOff>
      <xdr:row>81</xdr:row>
      <xdr:rowOff>19050</xdr:rowOff>
    </xdr:from>
    <xdr:to>
      <xdr:col>9</xdr:col>
      <xdr:colOff>261937</xdr:colOff>
      <xdr:row>88</xdr:row>
      <xdr:rowOff>114300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452437</xdr:colOff>
      <xdr:row>88</xdr:row>
      <xdr:rowOff>104775</xdr:rowOff>
    </xdr:from>
    <xdr:to>
      <xdr:col>8</xdr:col>
      <xdr:colOff>452437</xdr:colOff>
      <xdr:row>97</xdr:row>
      <xdr:rowOff>19050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947737</xdr:colOff>
      <xdr:row>96</xdr:row>
      <xdr:rowOff>19050</xdr:rowOff>
    </xdr:from>
    <xdr:to>
      <xdr:col>9</xdr:col>
      <xdr:colOff>261937</xdr:colOff>
      <xdr:row>111</xdr:row>
      <xdr:rowOff>47625</xdr:rowOff>
    </xdr:to>
    <xdr:graphicFrame macro="">
      <xdr:nvGraphicFramePr>
        <xdr:cNvPr id="7" name="Chart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104775</xdr:colOff>
      <xdr:row>0</xdr:row>
      <xdr:rowOff>95250</xdr:rowOff>
    </xdr:from>
    <xdr:to>
      <xdr:col>18</xdr:col>
      <xdr:colOff>123825</xdr:colOff>
      <xdr:row>28</xdr:row>
      <xdr:rowOff>104775</xdr:rowOff>
    </xdr:to>
    <xdr:sp macro="" textlink="">
      <xdr:nvSpPr>
        <xdr:cNvPr id="2" name="Rounded Rectangle 1"/>
        <xdr:cNvSpPr/>
      </xdr:nvSpPr>
      <xdr:spPr>
        <a:xfrm>
          <a:off x="104775" y="95250"/>
          <a:ext cx="12363450" cy="5076825"/>
        </a:xfrm>
        <a:prstGeom prst="roundRect">
          <a:avLst>
            <a:gd name="adj" fmla="val 4921"/>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276225</xdr:colOff>
      <xdr:row>0</xdr:row>
      <xdr:rowOff>104776</xdr:rowOff>
    </xdr:from>
    <xdr:to>
      <xdr:col>18</xdr:col>
      <xdr:colOff>104774</xdr:colOff>
      <xdr:row>28</xdr:row>
      <xdr:rowOff>0</xdr:rowOff>
    </xdr:to>
    <xdr:sp macro="" textlink="">
      <xdr:nvSpPr>
        <xdr:cNvPr id="4" name="Rounded Rectangle 3"/>
        <xdr:cNvSpPr/>
      </xdr:nvSpPr>
      <xdr:spPr>
        <a:xfrm>
          <a:off x="2333625" y="104776"/>
          <a:ext cx="10115549" cy="4962524"/>
        </a:xfrm>
        <a:prstGeom prst="roundRect">
          <a:avLst>
            <a:gd name="adj" fmla="val 4921"/>
          </a:avLst>
        </a:prstGeom>
        <a:solidFill>
          <a:schemeClr val="tx2">
            <a:lumMod val="25000"/>
            <a:lumOff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114300</xdr:colOff>
      <xdr:row>11</xdr:row>
      <xdr:rowOff>95250</xdr:rowOff>
    </xdr:from>
    <xdr:to>
      <xdr:col>17</xdr:col>
      <xdr:colOff>609600</xdr:colOff>
      <xdr:row>18</xdr:row>
      <xdr:rowOff>171449</xdr:rowOff>
    </xdr:to>
    <xdr:sp macro="" textlink="">
      <xdr:nvSpPr>
        <xdr:cNvPr id="8" name="Rectangle 7"/>
        <xdr:cNvSpPr/>
      </xdr:nvSpPr>
      <xdr:spPr>
        <a:xfrm>
          <a:off x="7658100" y="2085975"/>
          <a:ext cx="4610100" cy="13430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123825</xdr:colOff>
      <xdr:row>19</xdr:row>
      <xdr:rowOff>47625</xdr:rowOff>
    </xdr:from>
    <xdr:to>
      <xdr:col>17</xdr:col>
      <xdr:colOff>619125</xdr:colOff>
      <xdr:row>27</xdr:row>
      <xdr:rowOff>142875</xdr:rowOff>
    </xdr:to>
    <xdr:sp macro="" textlink="">
      <xdr:nvSpPr>
        <xdr:cNvPr id="9" name="Rectangle 8"/>
        <xdr:cNvSpPr/>
      </xdr:nvSpPr>
      <xdr:spPr>
        <a:xfrm>
          <a:off x="7667625" y="3486150"/>
          <a:ext cx="4610100" cy="154305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3</xdr:col>
      <xdr:colOff>422032</xdr:colOff>
      <xdr:row>11</xdr:row>
      <xdr:rowOff>80598</xdr:rowOff>
    </xdr:from>
    <xdr:to>
      <xdr:col>4</xdr:col>
      <xdr:colOff>145520</xdr:colOff>
      <xdr:row>13</xdr:row>
      <xdr:rowOff>52916</xdr:rowOff>
    </xdr:to>
    <xdr:pic>
      <xdr:nvPicPr>
        <xdr:cNvPr id="17" name="Picture 16" descr="What it Takes to Grow the Direct To Consumer Wine Channel - Fermentation"/>
        <xdr:cNvPicPr>
          <a:picLocks noChangeAspect="1"/>
        </xdr:cNvPicPr>
      </xdr:nvPicPr>
      <xdr:blipFill>
        <a:blip xmlns:r="http://schemas.openxmlformats.org/officeDocument/2006/relationships" r:embed="rId1" cstate="print">
          <a:biLevel thresh="75000"/>
          <a:extLst>
            <a:ext uri="{28A0092B-C50C-407E-A947-70E740481C1C}">
              <a14:useLocalDpi xmlns:a14="http://schemas.microsoft.com/office/drawing/2010/main" val="0"/>
            </a:ext>
          </a:extLst>
        </a:blip>
        <a:stretch>
          <a:fillRect/>
        </a:stretch>
      </xdr:blipFill>
      <xdr:spPr>
        <a:xfrm>
          <a:off x="2479432" y="2071323"/>
          <a:ext cx="406643" cy="386127"/>
        </a:xfrm>
        <a:prstGeom prst="rect">
          <a:avLst/>
        </a:prstGeom>
      </xdr:spPr>
    </xdr:pic>
    <xdr:clientData/>
  </xdr:twoCellAnchor>
  <xdr:twoCellAnchor>
    <xdr:from>
      <xdr:col>4</xdr:col>
      <xdr:colOff>152400</xdr:colOff>
      <xdr:row>11</xdr:row>
      <xdr:rowOff>76200</xdr:rowOff>
    </xdr:from>
    <xdr:to>
      <xdr:col>5</xdr:col>
      <xdr:colOff>628650</xdr:colOff>
      <xdr:row>13</xdr:row>
      <xdr:rowOff>57150</xdr:rowOff>
    </xdr:to>
    <xdr:sp macro="" textlink="">
      <xdr:nvSpPr>
        <xdr:cNvPr id="19" name="Rectangle 18"/>
        <xdr:cNvSpPr/>
      </xdr:nvSpPr>
      <xdr:spPr>
        <a:xfrm>
          <a:off x="2895600" y="2066925"/>
          <a:ext cx="1162050" cy="3429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solidFill>
                <a:schemeClr val="tx1"/>
              </a:solidFill>
              <a:latin typeface="Calibri" panose="020F0502020204030204" pitchFamily="34" charset="0"/>
              <a:ea typeface="Calibri" panose="020F0502020204030204" pitchFamily="34" charset="0"/>
              <a:cs typeface="Calibri" panose="020F0502020204030204" pitchFamily="34" charset="0"/>
            </a:rPr>
            <a:t>Analytics</a:t>
          </a:r>
          <a:endParaRPr lang="en-IN" sz="11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3</xdr:col>
      <xdr:colOff>371476</xdr:colOff>
      <xdr:row>14</xdr:row>
      <xdr:rowOff>9525</xdr:rowOff>
    </xdr:from>
    <xdr:to>
      <xdr:col>7</xdr:col>
      <xdr:colOff>57150</xdr:colOff>
      <xdr:row>17</xdr:row>
      <xdr:rowOff>38100</xdr:rowOff>
    </xdr:to>
    <xdr:sp macro="" textlink="">
      <xdr:nvSpPr>
        <xdr:cNvPr id="20" name="Rounded Rectangle 19"/>
        <xdr:cNvSpPr/>
      </xdr:nvSpPr>
      <xdr:spPr>
        <a:xfrm>
          <a:off x="2428876" y="2543175"/>
          <a:ext cx="2428874" cy="5715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142874</xdr:colOff>
      <xdr:row>14</xdr:row>
      <xdr:rowOff>9525</xdr:rowOff>
    </xdr:from>
    <xdr:to>
      <xdr:col>10</xdr:col>
      <xdr:colOff>685799</xdr:colOff>
      <xdr:row>17</xdr:row>
      <xdr:rowOff>38100</xdr:rowOff>
    </xdr:to>
    <xdr:sp macro="" textlink="">
      <xdr:nvSpPr>
        <xdr:cNvPr id="21" name="Rounded Rectangle 20"/>
        <xdr:cNvSpPr/>
      </xdr:nvSpPr>
      <xdr:spPr>
        <a:xfrm>
          <a:off x="4943474" y="2543175"/>
          <a:ext cx="2600325" cy="5715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333375</xdr:colOff>
      <xdr:row>10</xdr:row>
      <xdr:rowOff>152400</xdr:rowOff>
    </xdr:from>
    <xdr:to>
      <xdr:col>7</xdr:col>
      <xdr:colOff>76200</xdr:colOff>
      <xdr:row>14</xdr:row>
      <xdr:rowOff>114300</xdr:rowOff>
    </xdr:to>
    <xdr:sp macro="" textlink="">
      <xdr:nvSpPr>
        <xdr:cNvPr id="22" name="Rounded Rectangle 21"/>
        <xdr:cNvSpPr/>
      </xdr:nvSpPr>
      <xdr:spPr>
        <a:xfrm>
          <a:off x="3076575" y="1962150"/>
          <a:ext cx="1800225" cy="685800"/>
        </a:xfrm>
        <a:prstGeom prst="round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219075</xdr:colOff>
      <xdr:row>14</xdr:row>
      <xdr:rowOff>28575</xdr:rowOff>
    </xdr:from>
    <xdr:to>
      <xdr:col>7</xdr:col>
      <xdr:colOff>47625</xdr:colOff>
      <xdr:row>17</xdr:row>
      <xdr:rowOff>66675</xdr:rowOff>
    </xdr:to>
    <xdr:sp macro="" textlink="">
      <xdr:nvSpPr>
        <xdr:cNvPr id="23" name="Rounded Rectangle 22"/>
        <xdr:cNvSpPr/>
      </xdr:nvSpPr>
      <xdr:spPr>
        <a:xfrm>
          <a:off x="2962275" y="2562225"/>
          <a:ext cx="1885950" cy="581025"/>
        </a:xfrm>
        <a:prstGeom prst="round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457200</xdr:colOff>
      <xdr:row>14</xdr:row>
      <xdr:rowOff>0</xdr:rowOff>
    </xdr:from>
    <xdr:to>
      <xdr:col>6</xdr:col>
      <xdr:colOff>638175</xdr:colOff>
      <xdr:row>15</xdr:row>
      <xdr:rowOff>133350</xdr:rowOff>
    </xdr:to>
    <xdr:sp macro="" textlink="">
      <xdr:nvSpPr>
        <xdr:cNvPr id="24" name="Rectangle 23"/>
        <xdr:cNvSpPr/>
      </xdr:nvSpPr>
      <xdr:spPr>
        <a:xfrm>
          <a:off x="3200400" y="2533650"/>
          <a:ext cx="1552575" cy="3143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b="1">
              <a:solidFill>
                <a:schemeClr val="tx1"/>
              </a:solidFill>
              <a:latin typeface="Calibri" panose="020F0502020204030204" pitchFamily="34" charset="0"/>
              <a:ea typeface="Calibri" panose="020F0502020204030204" pitchFamily="34" charset="0"/>
              <a:cs typeface="Calibri" panose="020F0502020204030204" pitchFamily="34" charset="0"/>
            </a:rPr>
            <a:t>Total Amount</a:t>
          </a:r>
        </a:p>
      </xdr:txBody>
    </xdr:sp>
    <xdr:clientData/>
  </xdr:twoCellAnchor>
  <xdr:twoCellAnchor>
    <xdr:from>
      <xdr:col>8</xdr:col>
      <xdr:colOff>66674</xdr:colOff>
      <xdr:row>14</xdr:row>
      <xdr:rowOff>9525</xdr:rowOff>
    </xdr:from>
    <xdr:to>
      <xdr:col>10</xdr:col>
      <xdr:colOff>685799</xdr:colOff>
      <xdr:row>17</xdr:row>
      <xdr:rowOff>38100</xdr:rowOff>
    </xdr:to>
    <xdr:sp macro="" textlink="">
      <xdr:nvSpPr>
        <xdr:cNvPr id="25" name="Rounded Rectangle 24"/>
        <xdr:cNvSpPr/>
      </xdr:nvSpPr>
      <xdr:spPr>
        <a:xfrm>
          <a:off x="5553074" y="2543175"/>
          <a:ext cx="1990725" cy="571500"/>
        </a:xfrm>
        <a:prstGeom prst="round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407193</xdr:colOff>
      <xdr:row>14</xdr:row>
      <xdr:rowOff>14288</xdr:rowOff>
    </xdr:from>
    <xdr:to>
      <xdr:col>10</xdr:col>
      <xdr:colOff>502443</xdr:colOff>
      <xdr:row>15</xdr:row>
      <xdr:rowOff>171450</xdr:rowOff>
    </xdr:to>
    <xdr:sp macro="" textlink="">
      <xdr:nvSpPr>
        <xdr:cNvPr id="27" name="Rectangle 26"/>
        <xdr:cNvSpPr/>
      </xdr:nvSpPr>
      <xdr:spPr>
        <a:xfrm>
          <a:off x="5931693" y="3014663"/>
          <a:ext cx="1476375"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b="1">
              <a:solidFill>
                <a:schemeClr val="tx1"/>
              </a:solidFill>
              <a:latin typeface="Calibri" panose="020F0502020204030204" pitchFamily="34" charset="0"/>
              <a:ea typeface="Calibri" panose="020F0502020204030204" pitchFamily="34" charset="0"/>
              <a:cs typeface="Calibri" panose="020F0502020204030204" pitchFamily="34" charset="0"/>
            </a:rPr>
            <a:t>Total</a:t>
          </a:r>
          <a:r>
            <a:rPr lang="en-IN" sz="1800" b="1" baseline="0">
              <a:solidFill>
                <a:schemeClr val="tx1"/>
              </a:solidFill>
              <a:latin typeface="Calibri" panose="020F0502020204030204" pitchFamily="34" charset="0"/>
              <a:ea typeface="Calibri" panose="020F0502020204030204" pitchFamily="34" charset="0"/>
              <a:cs typeface="Calibri" panose="020F0502020204030204" pitchFamily="34" charset="0"/>
            </a:rPr>
            <a:t> Sales</a:t>
          </a:r>
          <a:endParaRPr lang="en-IN" sz="18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4</xdr:col>
      <xdr:colOff>542925</xdr:colOff>
      <xdr:row>15</xdr:row>
      <xdr:rowOff>95249</xdr:rowOff>
    </xdr:from>
    <xdr:to>
      <xdr:col>6</xdr:col>
      <xdr:colOff>523875</xdr:colOff>
      <xdr:row>17</xdr:row>
      <xdr:rowOff>19050</xdr:rowOff>
    </xdr:to>
    <xdr:sp macro="" textlink="'Pivot Table'!C45">
      <xdr:nvSpPr>
        <xdr:cNvPr id="3" name="Rectangle 2"/>
        <xdr:cNvSpPr/>
      </xdr:nvSpPr>
      <xdr:spPr>
        <a:xfrm>
          <a:off x="3286125" y="2809874"/>
          <a:ext cx="1352550" cy="28575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6F625C82-A270-48C0-ABA9-9038DA9FEB23}" type="TxLink">
            <a:rPr lang="en-US" sz="16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l"/>
            <a:t> </a:t>
          </a:fld>
          <a:endParaRPr lang="en-IN" sz="1600" b="1">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8</xdr:col>
      <xdr:colOff>361950</xdr:colOff>
      <xdr:row>15</xdr:row>
      <xdr:rowOff>95250</xdr:rowOff>
    </xdr:from>
    <xdr:to>
      <xdr:col>10</xdr:col>
      <xdr:colOff>342900</xdr:colOff>
      <xdr:row>17</xdr:row>
      <xdr:rowOff>19050</xdr:rowOff>
    </xdr:to>
    <xdr:sp macro="" textlink="'Pivot Table'!C49">
      <xdr:nvSpPr>
        <xdr:cNvPr id="30" name="Rectangle 29"/>
        <xdr:cNvSpPr/>
      </xdr:nvSpPr>
      <xdr:spPr>
        <a:xfrm>
          <a:off x="5848350" y="2809875"/>
          <a:ext cx="1352550" cy="2857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02E908BB-9387-429B-9ECB-FEFD2B77B443}" type="TxLink">
            <a:rPr lang="en-US" sz="16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 </a:t>
          </a:fld>
          <a:endParaRPr lang="en-IN" sz="1600" b="1">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0</xdr:col>
      <xdr:colOff>152400</xdr:colOff>
      <xdr:row>7</xdr:row>
      <xdr:rowOff>38100</xdr:rowOff>
    </xdr:from>
    <xdr:to>
      <xdr:col>3</xdr:col>
      <xdr:colOff>219075</xdr:colOff>
      <xdr:row>9</xdr:row>
      <xdr:rowOff>104775</xdr:rowOff>
    </xdr:to>
    <xdr:sp macro="" textlink="">
      <xdr:nvSpPr>
        <xdr:cNvPr id="7" name="Rounded Rectangle 6"/>
        <xdr:cNvSpPr/>
      </xdr:nvSpPr>
      <xdr:spPr>
        <a:xfrm>
          <a:off x="152400" y="1304925"/>
          <a:ext cx="2124075" cy="428625"/>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2400" b="1">
              <a:solidFill>
                <a:schemeClr val="tx1"/>
              </a:solidFill>
              <a:latin typeface="Calibri" panose="020F0502020204030204" pitchFamily="34" charset="0"/>
              <a:ea typeface="Calibri" panose="020F0502020204030204" pitchFamily="34" charset="0"/>
              <a:cs typeface="Calibri" panose="020F0502020204030204" pitchFamily="34" charset="0"/>
            </a:rPr>
            <a:t>DASHBOARD</a:t>
          </a:r>
        </a:p>
      </xdr:txBody>
    </xdr:sp>
    <xdr:clientData/>
  </xdr:twoCellAnchor>
  <xdr:twoCellAnchor>
    <xdr:from>
      <xdr:col>0</xdr:col>
      <xdr:colOff>152400</xdr:colOff>
      <xdr:row>10</xdr:row>
      <xdr:rowOff>76200</xdr:rowOff>
    </xdr:from>
    <xdr:to>
      <xdr:col>3</xdr:col>
      <xdr:colOff>219075</xdr:colOff>
      <xdr:row>12</xdr:row>
      <xdr:rowOff>142875</xdr:rowOff>
    </xdr:to>
    <xdr:sp macro="" textlink="">
      <xdr:nvSpPr>
        <xdr:cNvPr id="31" name="Rounded Rectangle 30">
          <a:hlinkClick xmlns:r="http://schemas.openxmlformats.org/officeDocument/2006/relationships" r:id="rId2"/>
        </xdr:cNvPr>
        <xdr:cNvSpPr/>
      </xdr:nvSpPr>
      <xdr:spPr>
        <a:xfrm>
          <a:off x="152400" y="1885950"/>
          <a:ext cx="2124075" cy="428625"/>
        </a:xfrm>
        <a:prstGeom prst="roundRect">
          <a:avLst/>
        </a:prstGeom>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ln>
                <a:solidFill>
                  <a:schemeClr val="bg1"/>
                </a:solidFill>
              </a:ln>
              <a:latin typeface="Calibri" panose="020F0502020204030204" pitchFamily="34" charset="0"/>
              <a:ea typeface="Calibri" panose="020F0502020204030204" pitchFamily="34" charset="0"/>
              <a:cs typeface="Calibri" panose="020F0502020204030204" pitchFamily="34" charset="0"/>
            </a:rPr>
            <a:t>PRODUCT</a:t>
          </a:r>
        </a:p>
      </xdr:txBody>
    </xdr:sp>
    <xdr:clientData/>
  </xdr:twoCellAnchor>
  <xdr:twoCellAnchor>
    <xdr:from>
      <xdr:col>0</xdr:col>
      <xdr:colOff>152400</xdr:colOff>
      <xdr:row>13</xdr:row>
      <xdr:rowOff>152400</xdr:rowOff>
    </xdr:from>
    <xdr:to>
      <xdr:col>3</xdr:col>
      <xdr:colOff>219075</xdr:colOff>
      <xdr:row>16</xdr:row>
      <xdr:rowOff>38100</xdr:rowOff>
    </xdr:to>
    <xdr:sp macro="" textlink="">
      <xdr:nvSpPr>
        <xdr:cNvPr id="32" name="Rounded Rectangle 31">
          <a:hlinkClick xmlns:r="http://schemas.openxmlformats.org/officeDocument/2006/relationships" r:id="rId3"/>
        </xdr:cNvPr>
        <xdr:cNvSpPr/>
      </xdr:nvSpPr>
      <xdr:spPr>
        <a:xfrm>
          <a:off x="152400" y="2505075"/>
          <a:ext cx="2124075" cy="428625"/>
        </a:xfrm>
        <a:prstGeom prst="roundRect">
          <a:avLst/>
        </a:prstGeom>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latin typeface="Calibri" panose="020F0502020204030204" pitchFamily="34" charset="0"/>
              <a:ea typeface="Calibri" panose="020F0502020204030204" pitchFamily="34" charset="0"/>
              <a:cs typeface="Calibri" panose="020F0502020204030204" pitchFamily="34" charset="0"/>
            </a:rPr>
            <a:t>SALES MAN</a:t>
          </a:r>
        </a:p>
      </xdr:txBody>
    </xdr:sp>
    <xdr:clientData/>
  </xdr:twoCellAnchor>
  <xdr:twoCellAnchor>
    <xdr:from>
      <xdr:col>0</xdr:col>
      <xdr:colOff>161925</xdr:colOff>
      <xdr:row>16</xdr:row>
      <xdr:rowOff>171450</xdr:rowOff>
    </xdr:from>
    <xdr:to>
      <xdr:col>3</xdr:col>
      <xdr:colOff>228600</xdr:colOff>
      <xdr:row>19</xdr:row>
      <xdr:rowOff>57150</xdr:rowOff>
    </xdr:to>
    <xdr:sp macro="" textlink="">
      <xdr:nvSpPr>
        <xdr:cNvPr id="33" name="Rounded Rectangle 32">
          <a:hlinkClick xmlns:r="http://schemas.openxmlformats.org/officeDocument/2006/relationships" r:id="rId4"/>
        </xdr:cNvPr>
        <xdr:cNvSpPr/>
      </xdr:nvSpPr>
      <xdr:spPr>
        <a:xfrm>
          <a:off x="161925" y="3067050"/>
          <a:ext cx="2124075" cy="428625"/>
        </a:xfrm>
        <a:prstGeom prst="roundRect">
          <a:avLst/>
        </a:prstGeom>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latin typeface="Calibri" panose="020F0502020204030204" pitchFamily="34" charset="0"/>
              <a:ea typeface="Calibri" panose="020F0502020204030204" pitchFamily="34" charset="0"/>
              <a:cs typeface="Calibri" panose="020F0502020204030204" pitchFamily="34" charset="0"/>
            </a:rPr>
            <a:t>ABOUT</a:t>
          </a:r>
        </a:p>
      </xdr:txBody>
    </xdr:sp>
    <xdr:clientData/>
  </xdr:twoCellAnchor>
  <xdr:twoCellAnchor>
    <xdr:from>
      <xdr:col>11</xdr:col>
      <xdr:colOff>114299</xdr:colOff>
      <xdr:row>11</xdr:row>
      <xdr:rowOff>95250</xdr:rowOff>
    </xdr:from>
    <xdr:to>
      <xdr:col>17</xdr:col>
      <xdr:colOff>619124</xdr:colOff>
      <xdr:row>18</xdr:row>
      <xdr:rowOff>152400</xdr:rowOff>
    </xdr:to>
    <xdr:graphicFrame macro="">
      <xdr:nvGraphicFramePr>
        <xdr:cNvPr id="37" name="Chart 3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10</xdr:col>
      <xdr:colOff>114300</xdr:colOff>
      <xdr:row>1</xdr:row>
      <xdr:rowOff>9526</xdr:rowOff>
    </xdr:from>
    <xdr:to>
      <xdr:col>18</xdr:col>
      <xdr:colOff>40216</xdr:colOff>
      <xdr:row>6</xdr:row>
      <xdr:rowOff>203730</xdr:rowOff>
    </xdr:to>
    <mc:AlternateContent xmlns:mc="http://schemas.openxmlformats.org/markup-compatibility/2006" xmlns:a14="http://schemas.microsoft.com/office/drawing/2010/main">
      <mc:Choice Requires="a14">
        <xdr:graphicFrame macro="">
          <xdr:nvGraphicFramePr>
            <xdr:cNvPr id="38" name="Place 1"/>
            <xdr:cNvGraphicFramePr/>
          </xdr:nvGraphicFramePr>
          <xdr:xfrm>
            <a:off x="0" y="0"/>
            <a:ext cx="0" cy="0"/>
          </xdr:xfrm>
          <a:graphic>
            <a:graphicData uri="http://schemas.microsoft.com/office/drawing/2010/slicer">
              <sle:slicer xmlns:sle="http://schemas.microsoft.com/office/drawing/2010/slicer" name="Place 1"/>
            </a:graphicData>
          </a:graphic>
        </xdr:graphicFrame>
      </mc:Choice>
      <mc:Fallback xmlns="">
        <xdr:sp macro="" textlink="">
          <xdr:nvSpPr>
            <xdr:cNvPr id="0" name=""/>
            <xdr:cNvSpPr>
              <a:spLocks noTextEdit="1"/>
            </xdr:cNvSpPr>
          </xdr:nvSpPr>
          <xdr:spPr>
            <a:xfrm>
              <a:off x="6972300" y="190501"/>
              <a:ext cx="5391149" cy="1228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361951</xdr:colOff>
      <xdr:row>1</xdr:row>
      <xdr:rowOff>9525</xdr:rowOff>
    </xdr:from>
    <xdr:to>
      <xdr:col>10</xdr:col>
      <xdr:colOff>56621</xdr:colOff>
      <xdr:row>6</xdr:row>
      <xdr:rowOff>194205</xdr:rowOff>
    </xdr:to>
    <mc:AlternateContent xmlns:mc="http://schemas.openxmlformats.org/markup-compatibility/2006" xmlns:tsle="http://schemas.microsoft.com/office/drawing/2012/timeslicer">
      <mc:Choice Requires="tsle">
        <xdr:graphicFrame macro="">
          <xdr:nvGraphicFramePr>
            <xdr:cNvPr id="39" name="Date 1"/>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2419351" y="190500"/>
              <a:ext cx="4476750" cy="1219201"/>
            </a:xfrm>
            <a:prstGeom prst="rect">
              <a:avLst/>
            </a:prstGeom>
            <a:solidFill>
              <a:prstClr val="white"/>
            </a:solidFill>
            <a:ln w="1">
              <a:solidFill>
                <a:prstClr val="green"/>
              </a:solidFill>
            </a:ln>
          </xdr:spPr>
          <xdr:txBody>
            <a:bodyPr vertOverflow="clip" horzOverflow="clip"/>
            <a:lstStyle/>
            <a:p>
              <a:r>
                <a:rPr lang="en-IN" sz="1100"/>
                <a:t>Timeline: Works in Excel or higher. Do not move or resize.</a:t>
              </a:r>
            </a:p>
          </xdr:txBody>
        </xdr:sp>
      </mc:Fallback>
    </mc:AlternateContent>
    <xdr:clientData/>
  </xdr:twoCellAnchor>
  <xdr:twoCellAnchor>
    <xdr:from>
      <xdr:col>11</xdr:col>
      <xdr:colOff>66675</xdr:colOff>
      <xdr:row>11</xdr:row>
      <xdr:rowOff>38100</xdr:rowOff>
    </xdr:from>
    <xdr:to>
      <xdr:col>13</xdr:col>
      <xdr:colOff>152400</xdr:colOff>
      <xdr:row>12</xdr:row>
      <xdr:rowOff>133350</xdr:rowOff>
    </xdr:to>
    <xdr:sp macro="" textlink="">
      <xdr:nvSpPr>
        <xdr:cNvPr id="11" name="Rectangle 10"/>
        <xdr:cNvSpPr/>
      </xdr:nvSpPr>
      <xdr:spPr>
        <a:xfrm>
          <a:off x="7610475" y="2028825"/>
          <a:ext cx="1457325" cy="276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latin typeface="Calibri" panose="020F0502020204030204" pitchFamily="34" charset="0"/>
              <a:ea typeface="Calibri" panose="020F0502020204030204" pitchFamily="34" charset="0"/>
              <a:cs typeface="Calibri" panose="020F0502020204030204" pitchFamily="34" charset="0"/>
            </a:rPr>
            <a:t>Sales by Month</a:t>
          </a:r>
          <a:endParaRPr lang="en-IN" sz="11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11</xdr:col>
      <xdr:colOff>123825</xdr:colOff>
      <xdr:row>19</xdr:row>
      <xdr:rowOff>57151</xdr:rowOff>
    </xdr:from>
    <xdr:to>
      <xdr:col>17</xdr:col>
      <xdr:colOff>647700</xdr:colOff>
      <xdr:row>27</xdr:row>
      <xdr:rowOff>95251</xdr:rowOff>
    </xdr:to>
    <xdr:graphicFrame macro="">
      <xdr:nvGraphicFramePr>
        <xdr:cNvPr id="40" name="Chart 3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76200</xdr:colOff>
      <xdr:row>19</xdr:row>
      <xdr:rowOff>9525</xdr:rowOff>
    </xdr:from>
    <xdr:to>
      <xdr:col>13</xdr:col>
      <xdr:colOff>161925</xdr:colOff>
      <xdr:row>20</xdr:row>
      <xdr:rowOff>104775</xdr:rowOff>
    </xdr:to>
    <xdr:sp macro="" textlink="">
      <xdr:nvSpPr>
        <xdr:cNvPr id="12" name="Rectangle 11"/>
        <xdr:cNvSpPr/>
      </xdr:nvSpPr>
      <xdr:spPr>
        <a:xfrm>
          <a:off x="7620000" y="3448050"/>
          <a:ext cx="1457325" cy="276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latin typeface="Calibri" panose="020F0502020204030204" pitchFamily="34" charset="0"/>
              <a:ea typeface="Calibri" panose="020F0502020204030204" pitchFamily="34" charset="0"/>
              <a:cs typeface="Calibri" panose="020F0502020204030204" pitchFamily="34" charset="0"/>
            </a:rPr>
            <a:t>Sales by Place</a:t>
          </a:r>
          <a:endParaRPr lang="en-IN" sz="11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editAs="oneCell">
    <xdr:from>
      <xdr:col>3</xdr:col>
      <xdr:colOff>371475</xdr:colOff>
      <xdr:row>7</xdr:row>
      <xdr:rowOff>47625</xdr:rowOff>
    </xdr:from>
    <xdr:to>
      <xdr:col>18</xdr:col>
      <xdr:colOff>49212</xdr:colOff>
      <xdr:row>10</xdr:row>
      <xdr:rowOff>169861</xdr:rowOff>
    </xdr:to>
    <mc:AlternateContent xmlns:mc="http://schemas.openxmlformats.org/markup-compatibility/2006" xmlns:a14="http://schemas.microsoft.com/office/drawing/2010/main">
      <mc:Choice Requires="a14">
        <xdr:graphicFrame macro="">
          <xdr:nvGraphicFramePr>
            <xdr:cNvPr id="41" name="Products 1"/>
            <xdr:cNvGraphicFramePr/>
          </xdr:nvGraphicFramePr>
          <xdr:xfrm>
            <a:off x="0" y="0"/>
            <a:ext cx="0" cy="0"/>
          </xdr:xfrm>
          <a:graphic>
            <a:graphicData uri="http://schemas.microsoft.com/office/drawing/2010/slicer">
              <sle:slicer xmlns:sle="http://schemas.microsoft.com/office/drawing/2010/slicer" name="Products 1"/>
            </a:graphicData>
          </a:graphic>
        </xdr:graphicFrame>
      </mc:Choice>
      <mc:Fallback xmlns="">
        <xdr:sp macro="" textlink="">
          <xdr:nvSpPr>
            <xdr:cNvPr id="0" name=""/>
            <xdr:cNvSpPr>
              <a:spLocks noTextEdit="1"/>
            </xdr:cNvSpPr>
          </xdr:nvSpPr>
          <xdr:spPr>
            <a:xfrm>
              <a:off x="2428875" y="1514475"/>
              <a:ext cx="9925050" cy="7429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400050</xdr:colOff>
      <xdr:row>17</xdr:row>
      <xdr:rowOff>161925</xdr:rowOff>
    </xdr:from>
    <xdr:to>
      <xdr:col>11</xdr:col>
      <xdr:colOff>38100</xdr:colOff>
      <xdr:row>27</xdr:row>
      <xdr:rowOff>85725</xdr:rowOff>
    </xdr:to>
    <xdr:sp macro="" textlink="">
      <xdr:nvSpPr>
        <xdr:cNvPr id="14" name="Rectangle 13"/>
        <xdr:cNvSpPr/>
      </xdr:nvSpPr>
      <xdr:spPr>
        <a:xfrm>
          <a:off x="2457450" y="3238500"/>
          <a:ext cx="5124450" cy="173355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solidFill>
                <a:sysClr val="windowText" lastClr="000000"/>
              </a:solidFill>
            </a:ln>
          </a:endParaRPr>
        </a:p>
      </xdr:txBody>
    </xdr:sp>
    <xdr:clientData/>
  </xdr:twoCellAnchor>
  <xdr:twoCellAnchor>
    <xdr:from>
      <xdr:col>3</xdr:col>
      <xdr:colOff>400050</xdr:colOff>
      <xdr:row>17</xdr:row>
      <xdr:rowOff>161926</xdr:rowOff>
    </xdr:from>
    <xdr:to>
      <xdr:col>11</xdr:col>
      <xdr:colOff>19050</xdr:colOff>
      <xdr:row>27</xdr:row>
      <xdr:rowOff>76200</xdr:rowOff>
    </xdr:to>
    <xdr:graphicFrame macro="">
      <xdr:nvGraphicFramePr>
        <xdr:cNvPr id="42" name="Chart 4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400050</xdr:colOff>
      <xdr:row>17</xdr:row>
      <xdr:rowOff>161925</xdr:rowOff>
    </xdr:from>
    <xdr:to>
      <xdr:col>5</xdr:col>
      <xdr:colOff>485775</xdr:colOff>
      <xdr:row>19</xdr:row>
      <xdr:rowOff>76200</xdr:rowOff>
    </xdr:to>
    <xdr:sp macro="" textlink="">
      <xdr:nvSpPr>
        <xdr:cNvPr id="43" name="Rectangle 42"/>
        <xdr:cNvSpPr/>
      </xdr:nvSpPr>
      <xdr:spPr>
        <a:xfrm>
          <a:off x="2457450" y="3238500"/>
          <a:ext cx="1457325" cy="276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latin typeface="Calibri" panose="020F0502020204030204" pitchFamily="34" charset="0"/>
              <a:ea typeface="Calibri" panose="020F0502020204030204" pitchFamily="34" charset="0"/>
              <a:cs typeface="Calibri" panose="020F0502020204030204" pitchFamily="34" charset="0"/>
            </a:rPr>
            <a:t>Sales by</a:t>
          </a:r>
          <a:r>
            <a:rPr lang="en-IN" sz="1400" b="1" baseline="0">
              <a:solidFill>
                <a:schemeClr val="tx1"/>
              </a:solidFill>
              <a:latin typeface="Calibri" panose="020F0502020204030204" pitchFamily="34" charset="0"/>
              <a:ea typeface="Calibri" panose="020F0502020204030204" pitchFamily="34" charset="0"/>
              <a:cs typeface="Calibri" panose="020F0502020204030204" pitchFamily="34" charset="0"/>
            </a:rPr>
            <a:t> Product</a:t>
          </a:r>
          <a:endParaRPr lang="en-IN" sz="11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4</xdr:col>
      <xdr:colOff>361950</xdr:colOff>
      <xdr:row>15</xdr:row>
      <xdr:rowOff>152399</xdr:rowOff>
    </xdr:from>
    <xdr:to>
      <xdr:col>6</xdr:col>
      <xdr:colOff>619125</xdr:colOff>
      <xdr:row>17</xdr:row>
      <xdr:rowOff>0</xdr:rowOff>
    </xdr:to>
    <xdr:sp macro="" textlink="'Pivot Table'!C40">
      <xdr:nvSpPr>
        <xdr:cNvPr id="15" name="Rectangle 14"/>
        <xdr:cNvSpPr/>
      </xdr:nvSpPr>
      <xdr:spPr>
        <a:xfrm>
          <a:off x="3105150" y="2867024"/>
          <a:ext cx="1628775" cy="209551"/>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80E6D172-06D0-4F66-AF10-112F993DB5C5}" type="TxLink">
            <a:rPr lang="en-US" sz="1600" b="1" i="0" u="none" strike="noStrike">
              <a:solidFill>
                <a:sysClr val="windowText" lastClr="000000"/>
              </a:solidFill>
              <a:latin typeface="Aptos Narrow"/>
            </a:rPr>
            <a:pPr algn="ctr"/>
            <a:t>11,87,31,893</a:t>
          </a:fld>
          <a:endParaRPr lang="en-IN" sz="1600" b="1">
            <a:solidFill>
              <a:sysClr val="windowText" lastClr="000000"/>
            </a:solidFill>
          </a:endParaRPr>
        </a:p>
      </xdr:txBody>
    </xdr:sp>
    <xdr:clientData/>
  </xdr:twoCellAnchor>
  <xdr:twoCellAnchor>
    <xdr:from>
      <xdr:col>8</xdr:col>
      <xdr:colOff>230980</xdr:colOff>
      <xdr:row>15</xdr:row>
      <xdr:rowOff>161925</xdr:rowOff>
    </xdr:from>
    <xdr:to>
      <xdr:col>10</xdr:col>
      <xdr:colOff>488155</xdr:colOff>
      <xdr:row>16</xdr:row>
      <xdr:rowOff>190501</xdr:rowOff>
    </xdr:to>
    <xdr:sp macro="" textlink="'Pivot Table'!C44">
      <xdr:nvSpPr>
        <xdr:cNvPr id="34" name="Rectangle 33"/>
        <xdr:cNvSpPr/>
      </xdr:nvSpPr>
      <xdr:spPr>
        <a:xfrm>
          <a:off x="5755480" y="3376613"/>
          <a:ext cx="1638300" cy="242888"/>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8E70B7DF-C9B7-43BD-85EB-92F3127E8F0D}" type="TxLink">
            <a:rPr lang="en-US" sz="1600" b="1" i="0" u="none" strike="noStrike">
              <a:solidFill>
                <a:srgbClr val="000000"/>
              </a:solidFill>
              <a:latin typeface="Aptos Narrow"/>
            </a:rPr>
            <a:pPr algn="ctr"/>
            <a:t>278</a:t>
          </a:fld>
          <a:endParaRPr lang="en-US" sz="2400" b="1" i="0" u="none" strike="noStrike">
            <a:solidFill>
              <a:sysClr val="windowText" lastClr="000000"/>
            </a:solidFill>
            <a:latin typeface="Aptos Narrow"/>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104775</xdr:colOff>
      <xdr:row>0</xdr:row>
      <xdr:rowOff>95250</xdr:rowOff>
    </xdr:from>
    <xdr:to>
      <xdr:col>18</xdr:col>
      <xdr:colOff>123825</xdr:colOff>
      <xdr:row>28</xdr:row>
      <xdr:rowOff>104775</xdr:rowOff>
    </xdr:to>
    <xdr:sp macro="" textlink="">
      <xdr:nvSpPr>
        <xdr:cNvPr id="2" name="Rounded Rectangle 1"/>
        <xdr:cNvSpPr/>
      </xdr:nvSpPr>
      <xdr:spPr>
        <a:xfrm>
          <a:off x="104775" y="95250"/>
          <a:ext cx="12363450" cy="5076825"/>
        </a:xfrm>
        <a:prstGeom prst="roundRect">
          <a:avLst>
            <a:gd name="adj" fmla="val 4921"/>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276225</xdr:colOff>
      <xdr:row>0</xdr:row>
      <xdr:rowOff>104776</xdr:rowOff>
    </xdr:from>
    <xdr:to>
      <xdr:col>18</xdr:col>
      <xdr:colOff>104774</xdr:colOff>
      <xdr:row>28</xdr:row>
      <xdr:rowOff>0</xdr:rowOff>
    </xdr:to>
    <xdr:sp macro="" textlink="">
      <xdr:nvSpPr>
        <xdr:cNvPr id="3" name="Rounded Rectangle 2"/>
        <xdr:cNvSpPr/>
      </xdr:nvSpPr>
      <xdr:spPr>
        <a:xfrm>
          <a:off x="2333625" y="104776"/>
          <a:ext cx="10115549" cy="4962524"/>
        </a:xfrm>
        <a:prstGeom prst="roundRect">
          <a:avLst>
            <a:gd name="adj" fmla="val 4921"/>
          </a:avLst>
        </a:prstGeom>
        <a:solidFill>
          <a:schemeClr val="tx2">
            <a:lumMod val="25000"/>
            <a:lumOff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114300</xdr:colOff>
      <xdr:row>11</xdr:row>
      <xdr:rowOff>95250</xdr:rowOff>
    </xdr:from>
    <xdr:to>
      <xdr:col>17</xdr:col>
      <xdr:colOff>609600</xdr:colOff>
      <xdr:row>18</xdr:row>
      <xdr:rowOff>171449</xdr:rowOff>
    </xdr:to>
    <xdr:sp macro="" textlink="">
      <xdr:nvSpPr>
        <xdr:cNvPr id="4" name="Rectangle 3"/>
        <xdr:cNvSpPr/>
      </xdr:nvSpPr>
      <xdr:spPr>
        <a:xfrm>
          <a:off x="7658100" y="2085975"/>
          <a:ext cx="4610100" cy="13430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123825</xdr:colOff>
      <xdr:row>19</xdr:row>
      <xdr:rowOff>47625</xdr:rowOff>
    </xdr:from>
    <xdr:to>
      <xdr:col>17</xdr:col>
      <xdr:colOff>619125</xdr:colOff>
      <xdr:row>27</xdr:row>
      <xdr:rowOff>142875</xdr:rowOff>
    </xdr:to>
    <xdr:sp macro="" textlink="">
      <xdr:nvSpPr>
        <xdr:cNvPr id="5" name="Rectangle 4"/>
        <xdr:cNvSpPr/>
      </xdr:nvSpPr>
      <xdr:spPr>
        <a:xfrm>
          <a:off x="7667625" y="4029075"/>
          <a:ext cx="4610100" cy="177165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3</xdr:col>
      <xdr:colOff>422032</xdr:colOff>
      <xdr:row>11</xdr:row>
      <xdr:rowOff>80598</xdr:rowOff>
    </xdr:from>
    <xdr:to>
      <xdr:col>4</xdr:col>
      <xdr:colOff>142875</xdr:colOff>
      <xdr:row>13</xdr:row>
      <xdr:rowOff>47625</xdr:rowOff>
    </xdr:to>
    <xdr:pic>
      <xdr:nvPicPr>
        <xdr:cNvPr id="6" name="Picture 5" descr="What it Takes to Grow the Direct To Consumer Wine Channel - Fermentation"/>
        <xdr:cNvPicPr>
          <a:picLocks noChangeAspect="1"/>
        </xdr:cNvPicPr>
      </xdr:nvPicPr>
      <xdr:blipFill>
        <a:blip xmlns:r="http://schemas.openxmlformats.org/officeDocument/2006/relationships" r:embed="rId1" cstate="print">
          <a:biLevel thresh="75000"/>
          <a:extLst>
            <a:ext uri="{28A0092B-C50C-407E-A947-70E740481C1C}">
              <a14:useLocalDpi xmlns:a14="http://schemas.microsoft.com/office/drawing/2010/main" val="0"/>
            </a:ext>
          </a:extLst>
        </a:blip>
        <a:stretch>
          <a:fillRect/>
        </a:stretch>
      </xdr:blipFill>
      <xdr:spPr>
        <a:xfrm>
          <a:off x="2479432" y="2071323"/>
          <a:ext cx="406643" cy="386127"/>
        </a:xfrm>
        <a:prstGeom prst="rect">
          <a:avLst/>
        </a:prstGeom>
      </xdr:spPr>
    </xdr:pic>
    <xdr:clientData/>
  </xdr:twoCellAnchor>
  <xdr:twoCellAnchor>
    <xdr:from>
      <xdr:col>4</xdr:col>
      <xdr:colOff>152400</xdr:colOff>
      <xdr:row>11</xdr:row>
      <xdr:rowOff>76200</xdr:rowOff>
    </xdr:from>
    <xdr:to>
      <xdr:col>5</xdr:col>
      <xdr:colOff>628650</xdr:colOff>
      <xdr:row>13</xdr:row>
      <xdr:rowOff>57150</xdr:rowOff>
    </xdr:to>
    <xdr:sp macro="" textlink="">
      <xdr:nvSpPr>
        <xdr:cNvPr id="7" name="Rectangle 6"/>
        <xdr:cNvSpPr/>
      </xdr:nvSpPr>
      <xdr:spPr>
        <a:xfrm>
          <a:off x="2895600" y="2066925"/>
          <a:ext cx="1162050" cy="3429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solidFill>
                <a:schemeClr val="tx1"/>
              </a:solidFill>
              <a:latin typeface="Calibri" panose="020F0502020204030204" pitchFamily="34" charset="0"/>
              <a:ea typeface="Calibri" panose="020F0502020204030204" pitchFamily="34" charset="0"/>
              <a:cs typeface="Calibri" panose="020F0502020204030204" pitchFamily="34" charset="0"/>
            </a:rPr>
            <a:t>Analytics</a:t>
          </a:r>
          <a:endParaRPr lang="en-IN" sz="11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4</xdr:col>
      <xdr:colOff>333375</xdr:colOff>
      <xdr:row>10</xdr:row>
      <xdr:rowOff>152400</xdr:rowOff>
    </xdr:from>
    <xdr:to>
      <xdr:col>7</xdr:col>
      <xdr:colOff>76200</xdr:colOff>
      <xdr:row>14</xdr:row>
      <xdr:rowOff>114300</xdr:rowOff>
    </xdr:to>
    <xdr:sp macro="" textlink="">
      <xdr:nvSpPr>
        <xdr:cNvPr id="10" name="Rounded Rectangle 9"/>
        <xdr:cNvSpPr/>
      </xdr:nvSpPr>
      <xdr:spPr>
        <a:xfrm>
          <a:off x="3076575" y="1962150"/>
          <a:ext cx="1800225" cy="685800"/>
        </a:xfrm>
        <a:prstGeom prst="round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542925</xdr:colOff>
      <xdr:row>15</xdr:row>
      <xdr:rowOff>95249</xdr:rowOff>
    </xdr:from>
    <xdr:to>
      <xdr:col>6</xdr:col>
      <xdr:colOff>523875</xdr:colOff>
      <xdr:row>17</xdr:row>
      <xdr:rowOff>19050</xdr:rowOff>
    </xdr:to>
    <xdr:sp macro="" textlink="'Pivot Table'!C45">
      <xdr:nvSpPr>
        <xdr:cNvPr id="15" name="Rectangle 14"/>
        <xdr:cNvSpPr/>
      </xdr:nvSpPr>
      <xdr:spPr>
        <a:xfrm>
          <a:off x="3286125" y="2809874"/>
          <a:ext cx="1352550" cy="28575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6F625C82-A270-48C0-ABA9-9038DA9FEB23}" type="TxLink">
            <a:rPr lang="en-US" sz="16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l"/>
            <a:t> </a:t>
          </a:fld>
          <a:endParaRPr lang="en-IN" sz="1600" b="1">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8</xdr:col>
      <xdr:colOff>361950</xdr:colOff>
      <xdr:row>15</xdr:row>
      <xdr:rowOff>95250</xdr:rowOff>
    </xdr:from>
    <xdr:to>
      <xdr:col>10</xdr:col>
      <xdr:colOff>342900</xdr:colOff>
      <xdr:row>17</xdr:row>
      <xdr:rowOff>19050</xdr:rowOff>
    </xdr:to>
    <xdr:sp macro="" textlink="'Pivot Table'!C49">
      <xdr:nvSpPr>
        <xdr:cNvPr id="16" name="Rectangle 15"/>
        <xdr:cNvSpPr/>
      </xdr:nvSpPr>
      <xdr:spPr>
        <a:xfrm>
          <a:off x="5848350" y="2809875"/>
          <a:ext cx="1352550" cy="2857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02E908BB-9387-429B-9ECB-FEFD2B77B443}" type="TxLink">
            <a:rPr lang="en-US" sz="16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 </a:t>
          </a:fld>
          <a:endParaRPr lang="en-IN" sz="1600" b="1">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0</xdr:col>
      <xdr:colOff>152400</xdr:colOff>
      <xdr:row>7</xdr:row>
      <xdr:rowOff>38100</xdr:rowOff>
    </xdr:from>
    <xdr:to>
      <xdr:col>3</xdr:col>
      <xdr:colOff>219075</xdr:colOff>
      <xdr:row>9</xdr:row>
      <xdr:rowOff>104775</xdr:rowOff>
    </xdr:to>
    <xdr:sp macro="" textlink="">
      <xdr:nvSpPr>
        <xdr:cNvPr id="17" name="Rounded Rectangle 16">
          <a:hlinkClick xmlns:r="http://schemas.openxmlformats.org/officeDocument/2006/relationships" r:id="rId2"/>
        </xdr:cNvPr>
        <xdr:cNvSpPr/>
      </xdr:nvSpPr>
      <xdr:spPr>
        <a:xfrm>
          <a:off x="152400" y="1304925"/>
          <a:ext cx="2124075" cy="428625"/>
        </a:xfrm>
        <a:prstGeom prst="roundRect">
          <a:avLst/>
        </a:prstGeom>
        <a:solidFill>
          <a:schemeClr val="accent1"/>
        </a:solidFill>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2400" b="1">
              <a:solidFill>
                <a:schemeClr val="bg1"/>
              </a:solidFill>
              <a:latin typeface="Calibri" panose="020F0502020204030204" pitchFamily="34" charset="0"/>
              <a:ea typeface="Calibri" panose="020F0502020204030204" pitchFamily="34" charset="0"/>
              <a:cs typeface="Calibri" panose="020F0502020204030204" pitchFamily="34" charset="0"/>
            </a:rPr>
            <a:t>DASHBOARD</a:t>
          </a:r>
        </a:p>
      </xdr:txBody>
    </xdr:sp>
    <xdr:clientData/>
  </xdr:twoCellAnchor>
  <xdr:twoCellAnchor>
    <xdr:from>
      <xdr:col>0</xdr:col>
      <xdr:colOff>152400</xdr:colOff>
      <xdr:row>10</xdr:row>
      <xdr:rowOff>76200</xdr:rowOff>
    </xdr:from>
    <xdr:to>
      <xdr:col>3</xdr:col>
      <xdr:colOff>219075</xdr:colOff>
      <xdr:row>12</xdr:row>
      <xdr:rowOff>142875</xdr:rowOff>
    </xdr:to>
    <xdr:sp macro="" textlink="">
      <xdr:nvSpPr>
        <xdr:cNvPr id="18" name="Rounded Rectangle 17"/>
        <xdr:cNvSpPr/>
      </xdr:nvSpPr>
      <xdr:spPr>
        <a:xfrm>
          <a:off x="152400" y="1885950"/>
          <a:ext cx="2124075" cy="428625"/>
        </a:xfrm>
        <a:prstGeom prst="round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ln>
                <a:solidFill>
                  <a:schemeClr val="bg1"/>
                </a:solidFill>
              </a:ln>
              <a:solidFill>
                <a:schemeClr val="tx1"/>
              </a:solidFill>
              <a:latin typeface="Calibri" panose="020F0502020204030204" pitchFamily="34" charset="0"/>
              <a:ea typeface="Calibri" panose="020F0502020204030204" pitchFamily="34" charset="0"/>
              <a:cs typeface="Calibri" panose="020F0502020204030204" pitchFamily="34" charset="0"/>
            </a:rPr>
            <a:t>PRODUCT</a:t>
          </a:r>
        </a:p>
      </xdr:txBody>
    </xdr:sp>
    <xdr:clientData/>
  </xdr:twoCellAnchor>
  <xdr:twoCellAnchor>
    <xdr:from>
      <xdr:col>0</xdr:col>
      <xdr:colOff>152400</xdr:colOff>
      <xdr:row>13</xdr:row>
      <xdr:rowOff>152400</xdr:rowOff>
    </xdr:from>
    <xdr:to>
      <xdr:col>3</xdr:col>
      <xdr:colOff>219075</xdr:colOff>
      <xdr:row>16</xdr:row>
      <xdr:rowOff>38100</xdr:rowOff>
    </xdr:to>
    <xdr:sp macro="" textlink="">
      <xdr:nvSpPr>
        <xdr:cNvPr id="19" name="Rounded Rectangle 18">
          <a:hlinkClick xmlns:r="http://schemas.openxmlformats.org/officeDocument/2006/relationships" r:id="rId3"/>
        </xdr:cNvPr>
        <xdr:cNvSpPr/>
      </xdr:nvSpPr>
      <xdr:spPr>
        <a:xfrm>
          <a:off x="152400" y="2505075"/>
          <a:ext cx="2124075" cy="428625"/>
        </a:xfrm>
        <a:prstGeom prst="roundRect">
          <a:avLst/>
        </a:prstGeom>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latin typeface="Calibri" panose="020F0502020204030204" pitchFamily="34" charset="0"/>
              <a:ea typeface="Calibri" panose="020F0502020204030204" pitchFamily="34" charset="0"/>
              <a:cs typeface="Calibri" panose="020F0502020204030204" pitchFamily="34" charset="0"/>
            </a:rPr>
            <a:t>SALES MAN</a:t>
          </a:r>
        </a:p>
      </xdr:txBody>
    </xdr:sp>
    <xdr:clientData/>
  </xdr:twoCellAnchor>
  <xdr:twoCellAnchor>
    <xdr:from>
      <xdr:col>0</xdr:col>
      <xdr:colOff>161925</xdr:colOff>
      <xdr:row>16</xdr:row>
      <xdr:rowOff>171450</xdr:rowOff>
    </xdr:from>
    <xdr:to>
      <xdr:col>3</xdr:col>
      <xdr:colOff>228600</xdr:colOff>
      <xdr:row>19</xdr:row>
      <xdr:rowOff>57150</xdr:rowOff>
    </xdr:to>
    <xdr:sp macro="" textlink="">
      <xdr:nvSpPr>
        <xdr:cNvPr id="20" name="Rounded Rectangle 19">
          <a:hlinkClick xmlns:r="http://schemas.openxmlformats.org/officeDocument/2006/relationships" r:id="rId4"/>
        </xdr:cNvPr>
        <xdr:cNvSpPr/>
      </xdr:nvSpPr>
      <xdr:spPr>
        <a:xfrm>
          <a:off x="161925" y="3067050"/>
          <a:ext cx="2124075" cy="428625"/>
        </a:xfrm>
        <a:prstGeom prst="roundRect">
          <a:avLst/>
        </a:prstGeom>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latin typeface="Calibri" panose="020F0502020204030204" pitchFamily="34" charset="0"/>
              <a:ea typeface="Calibri" panose="020F0502020204030204" pitchFamily="34" charset="0"/>
              <a:cs typeface="Calibri" panose="020F0502020204030204" pitchFamily="34" charset="0"/>
            </a:rPr>
            <a:t>ABOUT</a:t>
          </a:r>
        </a:p>
      </xdr:txBody>
    </xdr:sp>
    <xdr:clientData/>
  </xdr:twoCellAnchor>
  <xdr:twoCellAnchor editAs="oneCell">
    <xdr:from>
      <xdr:col>10</xdr:col>
      <xdr:colOff>114300</xdr:colOff>
      <xdr:row>1</xdr:row>
      <xdr:rowOff>9526</xdr:rowOff>
    </xdr:from>
    <xdr:to>
      <xdr:col>18</xdr:col>
      <xdr:colOff>19049</xdr:colOff>
      <xdr:row>6</xdr:row>
      <xdr:rowOff>190501</xdr:rowOff>
    </xdr:to>
    <mc:AlternateContent xmlns:mc="http://schemas.openxmlformats.org/markup-compatibility/2006" xmlns:a14="http://schemas.microsoft.com/office/drawing/2010/main">
      <mc:Choice Requires="a14">
        <xdr:graphicFrame macro="">
          <xdr:nvGraphicFramePr>
            <xdr:cNvPr id="22" name="Place 2"/>
            <xdr:cNvGraphicFramePr/>
          </xdr:nvGraphicFramePr>
          <xdr:xfrm>
            <a:off x="0" y="0"/>
            <a:ext cx="0" cy="0"/>
          </xdr:xfrm>
          <a:graphic>
            <a:graphicData uri="http://schemas.microsoft.com/office/drawing/2010/slicer">
              <sle:slicer xmlns:sle="http://schemas.microsoft.com/office/drawing/2010/slicer" name="Place 2"/>
            </a:graphicData>
          </a:graphic>
        </xdr:graphicFrame>
      </mc:Choice>
      <mc:Fallback xmlns="">
        <xdr:sp macro="" textlink="">
          <xdr:nvSpPr>
            <xdr:cNvPr id="0" name=""/>
            <xdr:cNvSpPr>
              <a:spLocks noTextEdit="1"/>
            </xdr:cNvSpPr>
          </xdr:nvSpPr>
          <xdr:spPr>
            <a:xfrm>
              <a:off x="6972300" y="190501"/>
              <a:ext cx="5391149" cy="1228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361951</xdr:colOff>
      <xdr:row>1</xdr:row>
      <xdr:rowOff>9525</xdr:rowOff>
    </xdr:from>
    <xdr:to>
      <xdr:col>10</xdr:col>
      <xdr:colOff>38101</xdr:colOff>
      <xdr:row>6</xdr:row>
      <xdr:rowOff>180976</xdr:rowOff>
    </xdr:to>
    <mc:AlternateContent xmlns:mc="http://schemas.openxmlformats.org/markup-compatibility/2006" xmlns:tsle="http://schemas.microsoft.com/office/drawing/2012/timeslicer">
      <mc:Choice Requires="tsle">
        <xdr:graphicFrame macro="">
          <xdr:nvGraphicFramePr>
            <xdr:cNvPr id="23" name="Date 2"/>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2419351" y="190500"/>
              <a:ext cx="4476750" cy="1219201"/>
            </a:xfrm>
            <a:prstGeom prst="rect">
              <a:avLst/>
            </a:prstGeom>
            <a:solidFill>
              <a:prstClr val="white"/>
            </a:solidFill>
            <a:ln w="1">
              <a:solidFill>
                <a:prstClr val="green"/>
              </a:solidFill>
            </a:ln>
          </xdr:spPr>
          <xdr:txBody>
            <a:bodyPr vertOverflow="clip" horzOverflow="clip"/>
            <a:lstStyle/>
            <a:p>
              <a:r>
                <a:rPr lang="en-IN" sz="1100"/>
                <a:t>Timeline: Works in Excel or higher. Do not move or resize.</a:t>
              </a:r>
            </a:p>
          </xdr:txBody>
        </xdr:sp>
      </mc:Fallback>
    </mc:AlternateContent>
    <xdr:clientData/>
  </xdr:twoCellAnchor>
  <xdr:twoCellAnchor editAs="oneCell">
    <xdr:from>
      <xdr:col>3</xdr:col>
      <xdr:colOff>361950</xdr:colOff>
      <xdr:row>7</xdr:row>
      <xdr:rowOff>28576</xdr:rowOff>
    </xdr:from>
    <xdr:to>
      <xdr:col>18</xdr:col>
      <xdr:colOff>0</xdr:colOff>
      <xdr:row>10</xdr:row>
      <xdr:rowOff>57150</xdr:rowOff>
    </xdr:to>
    <mc:AlternateContent xmlns:mc="http://schemas.openxmlformats.org/markup-compatibility/2006" xmlns:a14="http://schemas.microsoft.com/office/drawing/2010/main">
      <mc:Choice Requires="a14">
        <xdr:graphicFrame macro="">
          <xdr:nvGraphicFramePr>
            <xdr:cNvPr id="27" name="Products 2"/>
            <xdr:cNvGraphicFramePr/>
          </xdr:nvGraphicFramePr>
          <xdr:xfrm>
            <a:off x="0" y="0"/>
            <a:ext cx="0" cy="0"/>
          </xdr:xfrm>
          <a:graphic>
            <a:graphicData uri="http://schemas.microsoft.com/office/drawing/2010/slicer">
              <sle:slicer xmlns:sle="http://schemas.microsoft.com/office/drawing/2010/slicer" name="Products 2"/>
            </a:graphicData>
          </a:graphic>
        </xdr:graphicFrame>
      </mc:Choice>
      <mc:Fallback xmlns="">
        <xdr:sp macro="" textlink="">
          <xdr:nvSpPr>
            <xdr:cNvPr id="0" name=""/>
            <xdr:cNvSpPr>
              <a:spLocks noTextEdit="1"/>
            </xdr:cNvSpPr>
          </xdr:nvSpPr>
          <xdr:spPr>
            <a:xfrm>
              <a:off x="2419350" y="1495426"/>
              <a:ext cx="9925050" cy="6572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400050</xdr:colOff>
      <xdr:row>17</xdr:row>
      <xdr:rowOff>161925</xdr:rowOff>
    </xdr:from>
    <xdr:to>
      <xdr:col>11</xdr:col>
      <xdr:colOff>38100</xdr:colOff>
      <xdr:row>27</xdr:row>
      <xdr:rowOff>85725</xdr:rowOff>
    </xdr:to>
    <xdr:sp macro="" textlink="">
      <xdr:nvSpPr>
        <xdr:cNvPr id="28" name="Rectangle 27"/>
        <xdr:cNvSpPr/>
      </xdr:nvSpPr>
      <xdr:spPr>
        <a:xfrm>
          <a:off x="2457450" y="3238500"/>
          <a:ext cx="5124450" cy="173355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solidFill>
                <a:sysClr val="windowText" lastClr="000000"/>
              </a:solidFill>
            </a:ln>
          </a:endParaRPr>
        </a:p>
      </xdr:txBody>
    </xdr:sp>
    <xdr:clientData/>
  </xdr:twoCellAnchor>
  <xdr:twoCellAnchor>
    <xdr:from>
      <xdr:col>3</xdr:col>
      <xdr:colOff>400049</xdr:colOff>
      <xdr:row>13</xdr:row>
      <xdr:rowOff>152401</xdr:rowOff>
    </xdr:from>
    <xdr:to>
      <xdr:col>11</xdr:col>
      <xdr:colOff>47625</xdr:colOff>
      <xdr:row>27</xdr:row>
      <xdr:rowOff>76201</xdr:rowOff>
    </xdr:to>
    <xdr:graphicFrame macro="">
      <xdr:nvGraphicFramePr>
        <xdr:cNvPr id="35" name="Chart 3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371475</xdr:colOff>
      <xdr:row>13</xdr:row>
      <xdr:rowOff>123825</xdr:rowOff>
    </xdr:from>
    <xdr:to>
      <xdr:col>6</xdr:col>
      <xdr:colOff>314325</xdr:colOff>
      <xdr:row>15</xdr:row>
      <xdr:rowOff>38100</xdr:rowOff>
    </xdr:to>
    <xdr:sp macro="" textlink="">
      <xdr:nvSpPr>
        <xdr:cNvPr id="30" name="Rectangle 29"/>
        <xdr:cNvSpPr/>
      </xdr:nvSpPr>
      <xdr:spPr>
        <a:xfrm>
          <a:off x="2428875" y="2476500"/>
          <a:ext cx="2000250" cy="276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latin typeface="Calibri" panose="020F0502020204030204" pitchFamily="34" charset="0"/>
              <a:ea typeface="Calibri" panose="020F0502020204030204" pitchFamily="34" charset="0"/>
              <a:cs typeface="Calibri" panose="020F0502020204030204" pitchFamily="34" charset="0"/>
            </a:rPr>
            <a:t>Sales of</a:t>
          </a:r>
          <a:r>
            <a:rPr lang="en-IN" sz="1400" b="1" baseline="0">
              <a:solidFill>
                <a:schemeClr val="tx1"/>
              </a:solidFill>
              <a:latin typeface="Calibri" panose="020F0502020204030204" pitchFamily="34" charset="0"/>
              <a:ea typeface="Calibri" panose="020F0502020204030204" pitchFamily="34" charset="0"/>
              <a:cs typeface="Calibri" panose="020F0502020204030204" pitchFamily="34" charset="0"/>
            </a:rPr>
            <a:t> product by Qty</a:t>
          </a:r>
          <a:endParaRPr lang="en-IN" sz="11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11</xdr:col>
      <xdr:colOff>114300</xdr:colOff>
      <xdr:row>11</xdr:row>
      <xdr:rowOff>66675</xdr:rowOff>
    </xdr:from>
    <xdr:to>
      <xdr:col>17</xdr:col>
      <xdr:colOff>571500</xdr:colOff>
      <xdr:row>18</xdr:row>
      <xdr:rowOff>190500</xdr:rowOff>
    </xdr:to>
    <xdr:graphicFrame macro="">
      <xdr:nvGraphicFramePr>
        <xdr:cNvPr id="37" name="Chart 3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66675</xdr:colOff>
      <xdr:row>11</xdr:row>
      <xdr:rowOff>38100</xdr:rowOff>
    </xdr:from>
    <xdr:to>
      <xdr:col>13</xdr:col>
      <xdr:colOff>495300</xdr:colOff>
      <xdr:row>12</xdr:row>
      <xdr:rowOff>133350</xdr:rowOff>
    </xdr:to>
    <xdr:sp macro="" textlink="">
      <xdr:nvSpPr>
        <xdr:cNvPr id="24" name="Rectangle 23"/>
        <xdr:cNvSpPr/>
      </xdr:nvSpPr>
      <xdr:spPr>
        <a:xfrm>
          <a:off x="7610475" y="2343150"/>
          <a:ext cx="1800225" cy="3048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latin typeface="Calibri" panose="020F0502020204030204" pitchFamily="34" charset="0"/>
              <a:ea typeface="Calibri" panose="020F0502020204030204" pitchFamily="34" charset="0"/>
              <a:cs typeface="Calibri" panose="020F0502020204030204" pitchFamily="34" charset="0"/>
            </a:rPr>
            <a:t>Top</a:t>
          </a:r>
          <a:r>
            <a:rPr lang="en-IN" sz="1400" b="1" baseline="0">
              <a:solidFill>
                <a:schemeClr val="tx1"/>
              </a:solidFill>
              <a:latin typeface="Calibri" panose="020F0502020204030204" pitchFamily="34" charset="0"/>
              <a:ea typeface="Calibri" panose="020F0502020204030204" pitchFamily="34" charset="0"/>
              <a:cs typeface="Calibri" panose="020F0502020204030204" pitchFamily="34" charset="0"/>
            </a:rPr>
            <a:t> 3 selling product</a:t>
          </a:r>
          <a:endParaRPr lang="en-IN" sz="11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11</xdr:col>
      <xdr:colOff>123824</xdr:colOff>
      <xdr:row>19</xdr:row>
      <xdr:rowOff>57151</xdr:rowOff>
    </xdr:from>
    <xdr:to>
      <xdr:col>17</xdr:col>
      <xdr:colOff>628649</xdr:colOff>
      <xdr:row>27</xdr:row>
      <xdr:rowOff>104775</xdr:rowOff>
    </xdr:to>
    <xdr:graphicFrame macro="">
      <xdr:nvGraphicFramePr>
        <xdr:cNvPr id="38" name="Chart 3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76200</xdr:colOff>
      <xdr:row>19</xdr:row>
      <xdr:rowOff>9525</xdr:rowOff>
    </xdr:from>
    <xdr:to>
      <xdr:col>14</xdr:col>
      <xdr:colOff>95249</xdr:colOff>
      <xdr:row>20</xdr:row>
      <xdr:rowOff>104775</xdr:rowOff>
    </xdr:to>
    <xdr:sp macro="" textlink="">
      <xdr:nvSpPr>
        <xdr:cNvPr id="26" name="Rectangle 25"/>
        <xdr:cNvSpPr/>
      </xdr:nvSpPr>
      <xdr:spPr>
        <a:xfrm>
          <a:off x="7620000" y="3448050"/>
          <a:ext cx="2076449" cy="276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latin typeface="Calibri" panose="020F0502020204030204" pitchFamily="34" charset="0"/>
              <a:ea typeface="Calibri" panose="020F0502020204030204" pitchFamily="34" charset="0"/>
              <a:cs typeface="Calibri" panose="020F0502020204030204" pitchFamily="34" charset="0"/>
            </a:rPr>
            <a:t>Bottom</a:t>
          </a:r>
          <a:r>
            <a:rPr lang="en-IN" sz="1400" b="1" baseline="0">
              <a:solidFill>
                <a:schemeClr val="tx1"/>
              </a:solidFill>
              <a:latin typeface="Calibri" panose="020F0502020204030204" pitchFamily="34" charset="0"/>
              <a:ea typeface="Calibri" panose="020F0502020204030204" pitchFamily="34" charset="0"/>
              <a:cs typeface="Calibri" panose="020F0502020204030204" pitchFamily="34" charset="0"/>
            </a:rPr>
            <a:t> 3 selling product</a:t>
          </a:r>
          <a:endParaRPr lang="en-IN" sz="11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104775</xdr:colOff>
      <xdr:row>0</xdr:row>
      <xdr:rowOff>95250</xdr:rowOff>
    </xdr:from>
    <xdr:to>
      <xdr:col>18</xdr:col>
      <xdr:colOff>123825</xdr:colOff>
      <xdr:row>28</xdr:row>
      <xdr:rowOff>104775</xdr:rowOff>
    </xdr:to>
    <xdr:sp macro="" textlink="">
      <xdr:nvSpPr>
        <xdr:cNvPr id="2" name="Rounded Rectangle 1"/>
        <xdr:cNvSpPr/>
      </xdr:nvSpPr>
      <xdr:spPr>
        <a:xfrm>
          <a:off x="104775" y="95250"/>
          <a:ext cx="12363450" cy="5076825"/>
        </a:xfrm>
        <a:prstGeom prst="roundRect">
          <a:avLst>
            <a:gd name="adj" fmla="val 4921"/>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276225</xdr:colOff>
      <xdr:row>0</xdr:row>
      <xdr:rowOff>104776</xdr:rowOff>
    </xdr:from>
    <xdr:to>
      <xdr:col>18</xdr:col>
      <xdr:colOff>104774</xdr:colOff>
      <xdr:row>28</xdr:row>
      <xdr:rowOff>0</xdr:rowOff>
    </xdr:to>
    <xdr:sp macro="" textlink="">
      <xdr:nvSpPr>
        <xdr:cNvPr id="3" name="Rounded Rectangle 2"/>
        <xdr:cNvSpPr/>
      </xdr:nvSpPr>
      <xdr:spPr>
        <a:xfrm>
          <a:off x="2333625" y="104776"/>
          <a:ext cx="10115549" cy="4962524"/>
        </a:xfrm>
        <a:prstGeom prst="roundRect">
          <a:avLst>
            <a:gd name="adj" fmla="val 4921"/>
          </a:avLst>
        </a:prstGeom>
        <a:solidFill>
          <a:schemeClr val="tx2">
            <a:lumMod val="25000"/>
            <a:lumOff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114300</xdr:colOff>
      <xdr:row>11</xdr:row>
      <xdr:rowOff>95250</xdr:rowOff>
    </xdr:from>
    <xdr:to>
      <xdr:col>17</xdr:col>
      <xdr:colOff>609600</xdr:colOff>
      <xdr:row>18</xdr:row>
      <xdr:rowOff>171449</xdr:rowOff>
    </xdr:to>
    <xdr:sp macro="" textlink="">
      <xdr:nvSpPr>
        <xdr:cNvPr id="4" name="Rectangle 3"/>
        <xdr:cNvSpPr/>
      </xdr:nvSpPr>
      <xdr:spPr>
        <a:xfrm>
          <a:off x="7658100" y="2085975"/>
          <a:ext cx="4610100" cy="13430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123825</xdr:colOff>
      <xdr:row>19</xdr:row>
      <xdr:rowOff>47625</xdr:rowOff>
    </xdr:from>
    <xdr:to>
      <xdr:col>17</xdr:col>
      <xdr:colOff>619125</xdr:colOff>
      <xdr:row>27</xdr:row>
      <xdr:rowOff>142875</xdr:rowOff>
    </xdr:to>
    <xdr:sp macro="" textlink="">
      <xdr:nvSpPr>
        <xdr:cNvPr id="5" name="Rectangle 4"/>
        <xdr:cNvSpPr/>
      </xdr:nvSpPr>
      <xdr:spPr>
        <a:xfrm>
          <a:off x="7667625" y="3486150"/>
          <a:ext cx="4610100" cy="154305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3</xdr:col>
      <xdr:colOff>422032</xdr:colOff>
      <xdr:row>11</xdr:row>
      <xdr:rowOff>80598</xdr:rowOff>
    </xdr:from>
    <xdr:to>
      <xdr:col>4</xdr:col>
      <xdr:colOff>142875</xdr:colOff>
      <xdr:row>13</xdr:row>
      <xdr:rowOff>47625</xdr:rowOff>
    </xdr:to>
    <xdr:pic>
      <xdr:nvPicPr>
        <xdr:cNvPr id="6" name="Picture 5" descr="What it Takes to Grow the Direct To Consumer Wine Channel - Fermentation"/>
        <xdr:cNvPicPr>
          <a:picLocks noChangeAspect="1"/>
        </xdr:cNvPicPr>
      </xdr:nvPicPr>
      <xdr:blipFill>
        <a:blip xmlns:r="http://schemas.openxmlformats.org/officeDocument/2006/relationships" r:embed="rId1" cstate="print">
          <a:biLevel thresh="75000"/>
          <a:extLst>
            <a:ext uri="{28A0092B-C50C-407E-A947-70E740481C1C}">
              <a14:useLocalDpi xmlns:a14="http://schemas.microsoft.com/office/drawing/2010/main" val="0"/>
            </a:ext>
          </a:extLst>
        </a:blip>
        <a:stretch>
          <a:fillRect/>
        </a:stretch>
      </xdr:blipFill>
      <xdr:spPr>
        <a:xfrm>
          <a:off x="2479432" y="2071323"/>
          <a:ext cx="406643" cy="386127"/>
        </a:xfrm>
        <a:prstGeom prst="rect">
          <a:avLst/>
        </a:prstGeom>
      </xdr:spPr>
    </xdr:pic>
    <xdr:clientData/>
  </xdr:twoCellAnchor>
  <xdr:twoCellAnchor>
    <xdr:from>
      <xdr:col>4</xdr:col>
      <xdr:colOff>152400</xdr:colOff>
      <xdr:row>11</xdr:row>
      <xdr:rowOff>76200</xdr:rowOff>
    </xdr:from>
    <xdr:to>
      <xdr:col>5</xdr:col>
      <xdr:colOff>628650</xdr:colOff>
      <xdr:row>13</xdr:row>
      <xdr:rowOff>57150</xdr:rowOff>
    </xdr:to>
    <xdr:sp macro="" textlink="">
      <xdr:nvSpPr>
        <xdr:cNvPr id="7" name="Rectangle 6"/>
        <xdr:cNvSpPr/>
      </xdr:nvSpPr>
      <xdr:spPr>
        <a:xfrm>
          <a:off x="2895600" y="2066925"/>
          <a:ext cx="1162050" cy="3429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solidFill>
                <a:schemeClr val="tx1"/>
              </a:solidFill>
              <a:latin typeface="Calibri" panose="020F0502020204030204" pitchFamily="34" charset="0"/>
              <a:ea typeface="Calibri" panose="020F0502020204030204" pitchFamily="34" charset="0"/>
              <a:cs typeface="Calibri" panose="020F0502020204030204" pitchFamily="34" charset="0"/>
            </a:rPr>
            <a:t>Analytics</a:t>
          </a:r>
          <a:endParaRPr lang="en-IN" sz="11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4</xdr:col>
      <xdr:colOff>333375</xdr:colOff>
      <xdr:row>10</xdr:row>
      <xdr:rowOff>152400</xdr:rowOff>
    </xdr:from>
    <xdr:to>
      <xdr:col>7</xdr:col>
      <xdr:colOff>76200</xdr:colOff>
      <xdr:row>14</xdr:row>
      <xdr:rowOff>114300</xdr:rowOff>
    </xdr:to>
    <xdr:sp macro="" textlink="">
      <xdr:nvSpPr>
        <xdr:cNvPr id="8" name="Rounded Rectangle 7"/>
        <xdr:cNvSpPr/>
      </xdr:nvSpPr>
      <xdr:spPr>
        <a:xfrm>
          <a:off x="3076575" y="1962150"/>
          <a:ext cx="1800225" cy="685800"/>
        </a:xfrm>
        <a:prstGeom prst="round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542925</xdr:colOff>
      <xdr:row>15</xdr:row>
      <xdr:rowOff>95249</xdr:rowOff>
    </xdr:from>
    <xdr:to>
      <xdr:col>6</xdr:col>
      <xdr:colOff>523875</xdr:colOff>
      <xdr:row>17</xdr:row>
      <xdr:rowOff>19050</xdr:rowOff>
    </xdr:to>
    <xdr:sp macro="" textlink="'Pivot Table'!C45">
      <xdr:nvSpPr>
        <xdr:cNvPr id="9" name="Rectangle 8"/>
        <xdr:cNvSpPr/>
      </xdr:nvSpPr>
      <xdr:spPr>
        <a:xfrm>
          <a:off x="3286125" y="2809874"/>
          <a:ext cx="1352550" cy="28575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6F625C82-A270-48C0-ABA9-9038DA9FEB23}" type="TxLink">
            <a:rPr lang="en-US" sz="16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l"/>
            <a:t> </a:t>
          </a:fld>
          <a:endParaRPr lang="en-IN" sz="1600" b="1">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8</xdr:col>
      <xdr:colOff>361950</xdr:colOff>
      <xdr:row>15</xdr:row>
      <xdr:rowOff>95250</xdr:rowOff>
    </xdr:from>
    <xdr:to>
      <xdr:col>10</xdr:col>
      <xdr:colOff>342900</xdr:colOff>
      <xdr:row>17</xdr:row>
      <xdr:rowOff>19050</xdr:rowOff>
    </xdr:to>
    <xdr:sp macro="" textlink="'Pivot Table'!C49">
      <xdr:nvSpPr>
        <xdr:cNvPr id="10" name="Rectangle 9"/>
        <xdr:cNvSpPr/>
      </xdr:nvSpPr>
      <xdr:spPr>
        <a:xfrm>
          <a:off x="5848350" y="2809875"/>
          <a:ext cx="1352550" cy="2857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02E908BB-9387-429B-9ECB-FEFD2B77B443}" type="TxLink">
            <a:rPr lang="en-US" sz="16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 </a:t>
          </a:fld>
          <a:endParaRPr lang="en-IN" sz="1600" b="1">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0</xdr:col>
      <xdr:colOff>152400</xdr:colOff>
      <xdr:row>7</xdr:row>
      <xdr:rowOff>38100</xdr:rowOff>
    </xdr:from>
    <xdr:to>
      <xdr:col>3</xdr:col>
      <xdr:colOff>219075</xdr:colOff>
      <xdr:row>9</xdr:row>
      <xdr:rowOff>104775</xdr:rowOff>
    </xdr:to>
    <xdr:sp macro="" textlink="">
      <xdr:nvSpPr>
        <xdr:cNvPr id="11" name="Rounded Rectangle 10">
          <a:hlinkClick xmlns:r="http://schemas.openxmlformats.org/officeDocument/2006/relationships" r:id="rId2"/>
        </xdr:cNvPr>
        <xdr:cNvSpPr/>
      </xdr:nvSpPr>
      <xdr:spPr>
        <a:xfrm>
          <a:off x="152400" y="1304925"/>
          <a:ext cx="2124075" cy="428625"/>
        </a:xfrm>
        <a:prstGeom prst="roundRect">
          <a:avLst/>
        </a:prstGeom>
        <a:solidFill>
          <a:schemeClr val="accent1"/>
        </a:solidFill>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2400" b="1">
              <a:solidFill>
                <a:schemeClr val="bg1"/>
              </a:solidFill>
              <a:latin typeface="Calibri" panose="020F0502020204030204" pitchFamily="34" charset="0"/>
              <a:ea typeface="Calibri" panose="020F0502020204030204" pitchFamily="34" charset="0"/>
              <a:cs typeface="Calibri" panose="020F0502020204030204" pitchFamily="34" charset="0"/>
            </a:rPr>
            <a:t>DASHBOARD</a:t>
          </a:r>
        </a:p>
      </xdr:txBody>
    </xdr:sp>
    <xdr:clientData/>
  </xdr:twoCellAnchor>
  <xdr:twoCellAnchor>
    <xdr:from>
      <xdr:col>0</xdr:col>
      <xdr:colOff>152400</xdr:colOff>
      <xdr:row>10</xdr:row>
      <xdr:rowOff>76200</xdr:rowOff>
    </xdr:from>
    <xdr:to>
      <xdr:col>3</xdr:col>
      <xdr:colOff>219075</xdr:colOff>
      <xdr:row>12</xdr:row>
      <xdr:rowOff>142875</xdr:rowOff>
    </xdr:to>
    <xdr:sp macro="" textlink="">
      <xdr:nvSpPr>
        <xdr:cNvPr id="12" name="Rounded Rectangle 11">
          <a:hlinkClick xmlns:r="http://schemas.openxmlformats.org/officeDocument/2006/relationships" r:id="rId3"/>
        </xdr:cNvPr>
        <xdr:cNvSpPr/>
      </xdr:nvSpPr>
      <xdr:spPr>
        <a:xfrm>
          <a:off x="152400" y="1885950"/>
          <a:ext cx="2124075" cy="428625"/>
        </a:xfrm>
        <a:prstGeom prst="roundRect">
          <a:avLst/>
        </a:prstGeom>
        <a:solidFill>
          <a:schemeClr val="accent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ln>
                <a:solidFill>
                  <a:schemeClr val="bg1"/>
                </a:solidFill>
              </a:ln>
              <a:solidFill>
                <a:schemeClr val="bg1"/>
              </a:solidFill>
              <a:latin typeface="Calibri" panose="020F0502020204030204" pitchFamily="34" charset="0"/>
              <a:ea typeface="Calibri" panose="020F0502020204030204" pitchFamily="34" charset="0"/>
              <a:cs typeface="Calibri" panose="020F0502020204030204" pitchFamily="34" charset="0"/>
            </a:rPr>
            <a:t>PRODUCT</a:t>
          </a:r>
        </a:p>
      </xdr:txBody>
    </xdr:sp>
    <xdr:clientData/>
  </xdr:twoCellAnchor>
  <xdr:twoCellAnchor>
    <xdr:from>
      <xdr:col>0</xdr:col>
      <xdr:colOff>152400</xdr:colOff>
      <xdr:row>13</xdr:row>
      <xdr:rowOff>152400</xdr:rowOff>
    </xdr:from>
    <xdr:to>
      <xdr:col>3</xdr:col>
      <xdr:colOff>219075</xdr:colOff>
      <xdr:row>16</xdr:row>
      <xdr:rowOff>38100</xdr:rowOff>
    </xdr:to>
    <xdr:sp macro="" textlink="">
      <xdr:nvSpPr>
        <xdr:cNvPr id="13" name="Rounded Rectangle 12"/>
        <xdr:cNvSpPr/>
      </xdr:nvSpPr>
      <xdr:spPr>
        <a:xfrm>
          <a:off x="152400" y="2505075"/>
          <a:ext cx="2124075" cy="428625"/>
        </a:xfrm>
        <a:prstGeom prst="round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solidFill>
                <a:schemeClr val="tx1"/>
              </a:solidFill>
              <a:latin typeface="Calibri" panose="020F0502020204030204" pitchFamily="34" charset="0"/>
              <a:ea typeface="Calibri" panose="020F0502020204030204" pitchFamily="34" charset="0"/>
              <a:cs typeface="Calibri" panose="020F0502020204030204" pitchFamily="34" charset="0"/>
            </a:rPr>
            <a:t>SALES MAN</a:t>
          </a:r>
        </a:p>
      </xdr:txBody>
    </xdr:sp>
    <xdr:clientData/>
  </xdr:twoCellAnchor>
  <xdr:twoCellAnchor>
    <xdr:from>
      <xdr:col>0</xdr:col>
      <xdr:colOff>161925</xdr:colOff>
      <xdr:row>16</xdr:row>
      <xdr:rowOff>171450</xdr:rowOff>
    </xdr:from>
    <xdr:to>
      <xdr:col>3</xdr:col>
      <xdr:colOff>228600</xdr:colOff>
      <xdr:row>19</xdr:row>
      <xdr:rowOff>57150</xdr:rowOff>
    </xdr:to>
    <xdr:sp macro="" textlink="">
      <xdr:nvSpPr>
        <xdr:cNvPr id="14" name="Rounded Rectangle 13">
          <a:hlinkClick xmlns:r="http://schemas.openxmlformats.org/officeDocument/2006/relationships" r:id="rId4"/>
        </xdr:cNvPr>
        <xdr:cNvSpPr/>
      </xdr:nvSpPr>
      <xdr:spPr>
        <a:xfrm>
          <a:off x="161925" y="3067050"/>
          <a:ext cx="2124075" cy="428625"/>
        </a:xfrm>
        <a:prstGeom prst="roundRect">
          <a:avLst/>
        </a:prstGeom>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latin typeface="Calibri" panose="020F0502020204030204" pitchFamily="34" charset="0"/>
              <a:ea typeface="Calibri" panose="020F0502020204030204" pitchFamily="34" charset="0"/>
              <a:cs typeface="Calibri" panose="020F0502020204030204" pitchFamily="34" charset="0"/>
            </a:rPr>
            <a:t>ABOUT</a:t>
          </a:r>
        </a:p>
      </xdr:txBody>
    </xdr:sp>
    <xdr:clientData/>
  </xdr:twoCellAnchor>
  <xdr:twoCellAnchor editAs="oneCell">
    <xdr:from>
      <xdr:col>10</xdr:col>
      <xdr:colOff>114300</xdr:colOff>
      <xdr:row>1</xdr:row>
      <xdr:rowOff>9526</xdr:rowOff>
    </xdr:from>
    <xdr:to>
      <xdr:col>18</xdr:col>
      <xdr:colOff>19049</xdr:colOff>
      <xdr:row>6</xdr:row>
      <xdr:rowOff>190501</xdr:rowOff>
    </xdr:to>
    <mc:AlternateContent xmlns:mc="http://schemas.openxmlformats.org/markup-compatibility/2006" xmlns:a14="http://schemas.microsoft.com/office/drawing/2010/main">
      <mc:Choice Requires="a14">
        <xdr:graphicFrame macro="">
          <xdr:nvGraphicFramePr>
            <xdr:cNvPr id="15" name="Place 3"/>
            <xdr:cNvGraphicFramePr/>
          </xdr:nvGraphicFramePr>
          <xdr:xfrm>
            <a:off x="0" y="0"/>
            <a:ext cx="0" cy="0"/>
          </xdr:xfrm>
          <a:graphic>
            <a:graphicData uri="http://schemas.microsoft.com/office/drawing/2010/slicer">
              <sle:slicer xmlns:sle="http://schemas.microsoft.com/office/drawing/2010/slicer" name="Place 3"/>
            </a:graphicData>
          </a:graphic>
        </xdr:graphicFrame>
      </mc:Choice>
      <mc:Fallback xmlns="">
        <xdr:sp macro="" textlink="">
          <xdr:nvSpPr>
            <xdr:cNvPr id="0" name=""/>
            <xdr:cNvSpPr>
              <a:spLocks noTextEdit="1"/>
            </xdr:cNvSpPr>
          </xdr:nvSpPr>
          <xdr:spPr>
            <a:xfrm>
              <a:off x="6972300" y="219076"/>
              <a:ext cx="5391149" cy="1228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361951</xdr:colOff>
      <xdr:row>1</xdr:row>
      <xdr:rowOff>9525</xdr:rowOff>
    </xdr:from>
    <xdr:to>
      <xdr:col>10</xdr:col>
      <xdr:colOff>38101</xdr:colOff>
      <xdr:row>6</xdr:row>
      <xdr:rowOff>180976</xdr:rowOff>
    </xdr:to>
    <mc:AlternateContent xmlns:mc="http://schemas.openxmlformats.org/markup-compatibility/2006" xmlns:tsle="http://schemas.microsoft.com/office/drawing/2012/timeslicer">
      <mc:Choice Requires="tsle">
        <xdr:graphicFrame macro="">
          <xdr:nvGraphicFramePr>
            <xdr:cNvPr id="16" name="Date 3"/>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2419351" y="219075"/>
              <a:ext cx="4476750" cy="1219201"/>
            </a:xfrm>
            <a:prstGeom prst="rect">
              <a:avLst/>
            </a:prstGeom>
            <a:solidFill>
              <a:prstClr val="white"/>
            </a:solidFill>
            <a:ln w="1">
              <a:solidFill>
                <a:prstClr val="green"/>
              </a:solidFill>
            </a:ln>
          </xdr:spPr>
          <xdr:txBody>
            <a:bodyPr vertOverflow="clip" horzOverflow="clip"/>
            <a:lstStyle/>
            <a:p>
              <a:r>
                <a:rPr lang="en-IN" sz="1100"/>
                <a:t>Timeline: Works in Excel or higher. Do not move or resize.</a:t>
              </a:r>
            </a:p>
          </xdr:txBody>
        </xdr:sp>
      </mc:Fallback>
    </mc:AlternateContent>
    <xdr:clientData/>
  </xdr:twoCellAnchor>
  <xdr:twoCellAnchor editAs="oneCell">
    <xdr:from>
      <xdr:col>3</xdr:col>
      <xdr:colOff>361950</xdr:colOff>
      <xdr:row>7</xdr:row>
      <xdr:rowOff>47626</xdr:rowOff>
    </xdr:from>
    <xdr:to>
      <xdr:col>18</xdr:col>
      <xdr:colOff>0</xdr:colOff>
      <xdr:row>10</xdr:row>
      <xdr:rowOff>76200</xdr:rowOff>
    </xdr:to>
    <mc:AlternateContent xmlns:mc="http://schemas.openxmlformats.org/markup-compatibility/2006" xmlns:a14="http://schemas.microsoft.com/office/drawing/2010/main">
      <mc:Choice Requires="a14">
        <xdr:graphicFrame macro="">
          <xdr:nvGraphicFramePr>
            <xdr:cNvPr id="17" name="Products 3"/>
            <xdr:cNvGraphicFramePr/>
          </xdr:nvGraphicFramePr>
          <xdr:xfrm>
            <a:off x="0" y="0"/>
            <a:ext cx="0" cy="0"/>
          </xdr:xfrm>
          <a:graphic>
            <a:graphicData uri="http://schemas.microsoft.com/office/drawing/2010/slicer">
              <sle:slicer xmlns:sle="http://schemas.microsoft.com/office/drawing/2010/slicer" name="Products 3"/>
            </a:graphicData>
          </a:graphic>
        </xdr:graphicFrame>
      </mc:Choice>
      <mc:Fallback xmlns="">
        <xdr:sp macro="" textlink="">
          <xdr:nvSpPr>
            <xdr:cNvPr id="0" name=""/>
            <xdr:cNvSpPr>
              <a:spLocks noTextEdit="1"/>
            </xdr:cNvSpPr>
          </xdr:nvSpPr>
          <xdr:spPr>
            <a:xfrm>
              <a:off x="2419350" y="1514476"/>
              <a:ext cx="9925050" cy="6572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400050</xdr:colOff>
      <xdr:row>13</xdr:row>
      <xdr:rowOff>152400</xdr:rowOff>
    </xdr:from>
    <xdr:to>
      <xdr:col>11</xdr:col>
      <xdr:colOff>38100</xdr:colOff>
      <xdr:row>27</xdr:row>
      <xdr:rowOff>85725</xdr:rowOff>
    </xdr:to>
    <xdr:sp macro="" textlink="">
      <xdr:nvSpPr>
        <xdr:cNvPr id="18" name="Rectangle 17"/>
        <xdr:cNvSpPr/>
      </xdr:nvSpPr>
      <xdr:spPr>
        <a:xfrm>
          <a:off x="2457450" y="2505075"/>
          <a:ext cx="5124450" cy="246697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solidFill>
                <a:sysClr val="windowText" lastClr="000000"/>
              </a:solidFill>
            </a:ln>
          </a:endParaRPr>
        </a:p>
      </xdr:txBody>
    </xdr:sp>
    <xdr:clientData/>
  </xdr:twoCellAnchor>
  <xdr:twoCellAnchor>
    <xdr:from>
      <xdr:col>11</xdr:col>
      <xdr:colOff>114300</xdr:colOff>
      <xdr:row>11</xdr:row>
      <xdr:rowOff>95250</xdr:rowOff>
    </xdr:from>
    <xdr:to>
      <xdr:col>17</xdr:col>
      <xdr:colOff>571500</xdr:colOff>
      <xdr:row>19</xdr:row>
      <xdr:rowOff>9525</xdr:rowOff>
    </xdr:to>
    <xdr:graphicFrame macro="">
      <xdr:nvGraphicFramePr>
        <xdr:cNvPr id="25" name="Chart 2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66675</xdr:colOff>
      <xdr:row>11</xdr:row>
      <xdr:rowOff>38100</xdr:rowOff>
    </xdr:from>
    <xdr:to>
      <xdr:col>13</xdr:col>
      <xdr:colOff>266700</xdr:colOff>
      <xdr:row>12</xdr:row>
      <xdr:rowOff>133350</xdr:rowOff>
    </xdr:to>
    <xdr:sp macro="" textlink="">
      <xdr:nvSpPr>
        <xdr:cNvPr id="22" name="Rectangle 21"/>
        <xdr:cNvSpPr/>
      </xdr:nvSpPr>
      <xdr:spPr>
        <a:xfrm>
          <a:off x="7610475" y="2028825"/>
          <a:ext cx="1571625" cy="276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latin typeface="Calibri" panose="020F0502020204030204" pitchFamily="34" charset="0"/>
              <a:ea typeface="Calibri" panose="020F0502020204030204" pitchFamily="34" charset="0"/>
              <a:cs typeface="Calibri" panose="020F0502020204030204" pitchFamily="34" charset="0"/>
            </a:rPr>
            <a:t>Top</a:t>
          </a:r>
          <a:r>
            <a:rPr lang="en-IN" sz="1400" b="1" baseline="0">
              <a:solidFill>
                <a:schemeClr val="tx1"/>
              </a:solidFill>
              <a:latin typeface="Calibri" panose="020F0502020204030204" pitchFamily="34" charset="0"/>
              <a:ea typeface="Calibri" panose="020F0502020204030204" pitchFamily="34" charset="0"/>
              <a:cs typeface="Calibri" panose="020F0502020204030204" pitchFamily="34" charset="0"/>
            </a:rPr>
            <a:t> 3 Sales Mans</a:t>
          </a:r>
          <a:endParaRPr lang="en-IN" sz="11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11</xdr:col>
      <xdr:colOff>123825</xdr:colOff>
      <xdr:row>19</xdr:row>
      <xdr:rowOff>47625</xdr:rowOff>
    </xdr:from>
    <xdr:to>
      <xdr:col>17</xdr:col>
      <xdr:colOff>581025</xdr:colOff>
      <xdr:row>27</xdr:row>
      <xdr:rowOff>142875</xdr:rowOff>
    </xdr:to>
    <xdr:graphicFrame macro="">
      <xdr:nvGraphicFramePr>
        <xdr:cNvPr id="26" name="Chart 2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76200</xdr:colOff>
      <xdr:row>19</xdr:row>
      <xdr:rowOff>9525</xdr:rowOff>
    </xdr:from>
    <xdr:to>
      <xdr:col>13</xdr:col>
      <xdr:colOff>504825</xdr:colOff>
      <xdr:row>20</xdr:row>
      <xdr:rowOff>104775</xdr:rowOff>
    </xdr:to>
    <xdr:sp macro="" textlink="">
      <xdr:nvSpPr>
        <xdr:cNvPr id="24" name="Rectangle 23"/>
        <xdr:cNvSpPr/>
      </xdr:nvSpPr>
      <xdr:spPr>
        <a:xfrm>
          <a:off x="7620000" y="3448050"/>
          <a:ext cx="1800225" cy="276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latin typeface="Calibri" panose="020F0502020204030204" pitchFamily="34" charset="0"/>
              <a:ea typeface="Calibri" panose="020F0502020204030204" pitchFamily="34" charset="0"/>
              <a:cs typeface="Calibri" panose="020F0502020204030204" pitchFamily="34" charset="0"/>
            </a:rPr>
            <a:t>Bottom</a:t>
          </a:r>
          <a:r>
            <a:rPr lang="en-IN" sz="1400" b="1" baseline="0">
              <a:solidFill>
                <a:schemeClr val="tx1"/>
              </a:solidFill>
              <a:latin typeface="Calibri" panose="020F0502020204030204" pitchFamily="34" charset="0"/>
              <a:ea typeface="Calibri" panose="020F0502020204030204" pitchFamily="34" charset="0"/>
              <a:cs typeface="Calibri" panose="020F0502020204030204" pitchFamily="34" charset="0"/>
            </a:rPr>
            <a:t> 3 Sales Mans</a:t>
          </a:r>
        </a:p>
      </xdr:txBody>
    </xdr:sp>
    <xdr:clientData/>
  </xdr:twoCellAnchor>
  <xdr:twoCellAnchor>
    <xdr:from>
      <xdr:col>3</xdr:col>
      <xdr:colOff>400049</xdr:colOff>
      <xdr:row>13</xdr:row>
      <xdr:rowOff>161926</xdr:rowOff>
    </xdr:from>
    <xdr:to>
      <xdr:col>11</xdr:col>
      <xdr:colOff>9524</xdr:colOff>
      <xdr:row>27</xdr:row>
      <xdr:rowOff>57150</xdr:rowOff>
    </xdr:to>
    <xdr:graphicFrame macro="">
      <xdr:nvGraphicFramePr>
        <xdr:cNvPr id="27" name="Chart 2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371474</xdr:colOff>
      <xdr:row>13</xdr:row>
      <xdr:rowOff>123825</xdr:rowOff>
    </xdr:from>
    <xdr:to>
      <xdr:col>7</xdr:col>
      <xdr:colOff>95249</xdr:colOff>
      <xdr:row>15</xdr:row>
      <xdr:rowOff>38100</xdr:rowOff>
    </xdr:to>
    <xdr:sp macro="" textlink="">
      <xdr:nvSpPr>
        <xdr:cNvPr id="20" name="Rectangle 19"/>
        <xdr:cNvSpPr/>
      </xdr:nvSpPr>
      <xdr:spPr>
        <a:xfrm>
          <a:off x="2428874" y="2476500"/>
          <a:ext cx="2466975" cy="276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latin typeface="Calibri" panose="020F0502020204030204" pitchFamily="34" charset="0"/>
              <a:ea typeface="Calibri" panose="020F0502020204030204" pitchFamily="34" charset="0"/>
              <a:cs typeface="Calibri" panose="020F0502020204030204" pitchFamily="34" charset="0"/>
            </a:rPr>
            <a:t>Sales Mans Performance</a:t>
          </a:r>
          <a:endParaRPr lang="en-IN" sz="1100" b="1">
            <a:solidFill>
              <a:schemeClr val="tx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104775</xdr:colOff>
      <xdr:row>0</xdr:row>
      <xdr:rowOff>95250</xdr:rowOff>
    </xdr:from>
    <xdr:to>
      <xdr:col>18</xdr:col>
      <xdr:colOff>123825</xdr:colOff>
      <xdr:row>28</xdr:row>
      <xdr:rowOff>104775</xdr:rowOff>
    </xdr:to>
    <xdr:sp macro="" textlink="">
      <xdr:nvSpPr>
        <xdr:cNvPr id="2" name="Rounded Rectangle 1"/>
        <xdr:cNvSpPr/>
      </xdr:nvSpPr>
      <xdr:spPr>
        <a:xfrm>
          <a:off x="104775" y="95250"/>
          <a:ext cx="12363450" cy="5076825"/>
        </a:xfrm>
        <a:prstGeom prst="roundRect">
          <a:avLst>
            <a:gd name="adj" fmla="val 4921"/>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276225</xdr:colOff>
      <xdr:row>0</xdr:row>
      <xdr:rowOff>104776</xdr:rowOff>
    </xdr:from>
    <xdr:to>
      <xdr:col>18</xdr:col>
      <xdr:colOff>104774</xdr:colOff>
      <xdr:row>28</xdr:row>
      <xdr:rowOff>0</xdr:rowOff>
    </xdr:to>
    <xdr:sp macro="" textlink="">
      <xdr:nvSpPr>
        <xdr:cNvPr id="3" name="Rounded Rectangle 2"/>
        <xdr:cNvSpPr/>
      </xdr:nvSpPr>
      <xdr:spPr>
        <a:xfrm>
          <a:off x="2333625" y="104776"/>
          <a:ext cx="10115549" cy="4962524"/>
        </a:xfrm>
        <a:prstGeom prst="roundRect">
          <a:avLst>
            <a:gd name="adj" fmla="val 4921"/>
          </a:avLst>
        </a:prstGeom>
        <a:solidFill>
          <a:schemeClr val="tx2">
            <a:lumMod val="25000"/>
            <a:lumOff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152400</xdr:colOff>
      <xdr:row>11</xdr:row>
      <xdr:rowOff>76200</xdr:rowOff>
    </xdr:from>
    <xdr:to>
      <xdr:col>5</xdr:col>
      <xdr:colOff>628650</xdr:colOff>
      <xdr:row>13</xdr:row>
      <xdr:rowOff>57150</xdr:rowOff>
    </xdr:to>
    <xdr:sp macro="" textlink="">
      <xdr:nvSpPr>
        <xdr:cNvPr id="7" name="Rectangle 6"/>
        <xdr:cNvSpPr/>
      </xdr:nvSpPr>
      <xdr:spPr>
        <a:xfrm>
          <a:off x="2895600" y="2066925"/>
          <a:ext cx="1162050" cy="3429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solidFill>
                <a:schemeClr val="tx1"/>
              </a:solidFill>
              <a:latin typeface="Calibri" panose="020F0502020204030204" pitchFamily="34" charset="0"/>
              <a:ea typeface="Calibri" panose="020F0502020204030204" pitchFamily="34" charset="0"/>
              <a:cs typeface="Calibri" panose="020F0502020204030204" pitchFamily="34" charset="0"/>
            </a:rPr>
            <a:t>ABOUT</a:t>
          </a:r>
        </a:p>
      </xdr:txBody>
    </xdr:sp>
    <xdr:clientData/>
  </xdr:twoCellAnchor>
  <xdr:twoCellAnchor>
    <xdr:from>
      <xdr:col>4</xdr:col>
      <xdr:colOff>333375</xdr:colOff>
      <xdr:row>10</xdr:row>
      <xdr:rowOff>152400</xdr:rowOff>
    </xdr:from>
    <xdr:to>
      <xdr:col>7</xdr:col>
      <xdr:colOff>76200</xdr:colOff>
      <xdr:row>14</xdr:row>
      <xdr:rowOff>114300</xdr:rowOff>
    </xdr:to>
    <xdr:sp macro="" textlink="">
      <xdr:nvSpPr>
        <xdr:cNvPr id="8" name="Rounded Rectangle 7"/>
        <xdr:cNvSpPr/>
      </xdr:nvSpPr>
      <xdr:spPr>
        <a:xfrm>
          <a:off x="3076575" y="1962150"/>
          <a:ext cx="1800225" cy="685800"/>
        </a:xfrm>
        <a:prstGeom prst="round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542925</xdr:colOff>
      <xdr:row>15</xdr:row>
      <xdr:rowOff>95249</xdr:rowOff>
    </xdr:from>
    <xdr:to>
      <xdr:col>6</xdr:col>
      <xdr:colOff>523875</xdr:colOff>
      <xdr:row>17</xdr:row>
      <xdr:rowOff>19050</xdr:rowOff>
    </xdr:to>
    <xdr:sp macro="" textlink="'Pivot Table'!C45">
      <xdr:nvSpPr>
        <xdr:cNvPr id="9" name="Rectangle 8"/>
        <xdr:cNvSpPr/>
      </xdr:nvSpPr>
      <xdr:spPr>
        <a:xfrm>
          <a:off x="3286125" y="2809874"/>
          <a:ext cx="1352550" cy="28575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6F625C82-A270-48C0-ABA9-9038DA9FEB23}" type="TxLink">
            <a:rPr lang="en-US" sz="16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l"/>
            <a:t> </a:t>
          </a:fld>
          <a:endParaRPr lang="en-IN" sz="1600" b="1">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8</xdr:col>
      <xdr:colOff>361950</xdr:colOff>
      <xdr:row>15</xdr:row>
      <xdr:rowOff>95250</xdr:rowOff>
    </xdr:from>
    <xdr:to>
      <xdr:col>10</xdr:col>
      <xdr:colOff>342900</xdr:colOff>
      <xdr:row>17</xdr:row>
      <xdr:rowOff>19050</xdr:rowOff>
    </xdr:to>
    <xdr:sp macro="" textlink="'Pivot Table'!C49">
      <xdr:nvSpPr>
        <xdr:cNvPr id="10" name="Rectangle 9"/>
        <xdr:cNvSpPr/>
      </xdr:nvSpPr>
      <xdr:spPr>
        <a:xfrm>
          <a:off x="5848350" y="2809875"/>
          <a:ext cx="1352550" cy="2857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02E908BB-9387-429B-9ECB-FEFD2B77B443}" type="TxLink">
            <a:rPr lang="en-US" sz="16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 </a:t>
          </a:fld>
          <a:endParaRPr lang="en-IN" sz="1600" b="1">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0</xdr:col>
      <xdr:colOff>152400</xdr:colOff>
      <xdr:row>7</xdr:row>
      <xdr:rowOff>38100</xdr:rowOff>
    </xdr:from>
    <xdr:to>
      <xdr:col>3</xdr:col>
      <xdr:colOff>219075</xdr:colOff>
      <xdr:row>9</xdr:row>
      <xdr:rowOff>104775</xdr:rowOff>
    </xdr:to>
    <xdr:sp macro="" textlink="">
      <xdr:nvSpPr>
        <xdr:cNvPr id="11" name="Rounded Rectangle 10">
          <a:hlinkClick xmlns:r="http://schemas.openxmlformats.org/officeDocument/2006/relationships" r:id="rId1"/>
        </xdr:cNvPr>
        <xdr:cNvSpPr/>
      </xdr:nvSpPr>
      <xdr:spPr>
        <a:xfrm>
          <a:off x="152400" y="1304925"/>
          <a:ext cx="2124075" cy="428625"/>
        </a:xfrm>
        <a:prstGeom prst="roundRect">
          <a:avLst/>
        </a:prstGeom>
        <a:solidFill>
          <a:schemeClr val="accent1"/>
        </a:solidFill>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2400" b="1">
              <a:solidFill>
                <a:schemeClr val="bg1"/>
              </a:solidFill>
              <a:latin typeface="Calibri" panose="020F0502020204030204" pitchFamily="34" charset="0"/>
              <a:ea typeface="Calibri" panose="020F0502020204030204" pitchFamily="34" charset="0"/>
              <a:cs typeface="Calibri" panose="020F0502020204030204" pitchFamily="34" charset="0"/>
            </a:rPr>
            <a:t>DASHBOARD</a:t>
          </a:r>
        </a:p>
      </xdr:txBody>
    </xdr:sp>
    <xdr:clientData/>
  </xdr:twoCellAnchor>
  <xdr:twoCellAnchor>
    <xdr:from>
      <xdr:col>0</xdr:col>
      <xdr:colOff>152400</xdr:colOff>
      <xdr:row>10</xdr:row>
      <xdr:rowOff>76200</xdr:rowOff>
    </xdr:from>
    <xdr:to>
      <xdr:col>3</xdr:col>
      <xdr:colOff>219075</xdr:colOff>
      <xdr:row>12</xdr:row>
      <xdr:rowOff>142875</xdr:rowOff>
    </xdr:to>
    <xdr:sp macro="" textlink="">
      <xdr:nvSpPr>
        <xdr:cNvPr id="12" name="Rounded Rectangle 11">
          <a:hlinkClick xmlns:r="http://schemas.openxmlformats.org/officeDocument/2006/relationships" r:id="rId2"/>
        </xdr:cNvPr>
        <xdr:cNvSpPr/>
      </xdr:nvSpPr>
      <xdr:spPr>
        <a:xfrm>
          <a:off x="152400" y="1885950"/>
          <a:ext cx="2124075" cy="428625"/>
        </a:xfrm>
        <a:prstGeom prst="roundRect">
          <a:avLst/>
        </a:prstGeom>
        <a:solidFill>
          <a:schemeClr val="accent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ln>
                <a:solidFill>
                  <a:schemeClr val="bg1"/>
                </a:solidFill>
              </a:ln>
              <a:solidFill>
                <a:schemeClr val="bg1"/>
              </a:solidFill>
              <a:latin typeface="Calibri" panose="020F0502020204030204" pitchFamily="34" charset="0"/>
              <a:ea typeface="Calibri" panose="020F0502020204030204" pitchFamily="34" charset="0"/>
              <a:cs typeface="Calibri" panose="020F0502020204030204" pitchFamily="34" charset="0"/>
            </a:rPr>
            <a:t>PRODUCT</a:t>
          </a:r>
        </a:p>
      </xdr:txBody>
    </xdr:sp>
    <xdr:clientData/>
  </xdr:twoCellAnchor>
  <xdr:twoCellAnchor>
    <xdr:from>
      <xdr:col>0</xdr:col>
      <xdr:colOff>152400</xdr:colOff>
      <xdr:row>13</xdr:row>
      <xdr:rowOff>152400</xdr:rowOff>
    </xdr:from>
    <xdr:to>
      <xdr:col>3</xdr:col>
      <xdr:colOff>219075</xdr:colOff>
      <xdr:row>16</xdr:row>
      <xdr:rowOff>38100</xdr:rowOff>
    </xdr:to>
    <xdr:sp macro="" textlink="">
      <xdr:nvSpPr>
        <xdr:cNvPr id="13" name="Rounded Rectangle 12">
          <a:hlinkClick xmlns:r="http://schemas.openxmlformats.org/officeDocument/2006/relationships" r:id="rId3"/>
        </xdr:cNvPr>
        <xdr:cNvSpPr/>
      </xdr:nvSpPr>
      <xdr:spPr>
        <a:xfrm>
          <a:off x="152400" y="2505075"/>
          <a:ext cx="2124075" cy="428625"/>
        </a:xfrm>
        <a:prstGeom prst="roundRect">
          <a:avLst/>
        </a:prstGeom>
        <a:solidFill>
          <a:schemeClr val="accent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solidFill>
                <a:schemeClr val="bg1"/>
              </a:solidFill>
              <a:latin typeface="Calibri" panose="020F0502020204030204" pitchFamily="34" charset="0"/>
              <a:ea typeface="Calibri" panose="020F0502020204030204" pitchFamily="34" charset="0"/>
              <a:cs typeface="Calibri" panose="020F0502020204030204" pitchFamily="34" charset="0"/>
            </a:rPr>
            <a:t>SALES MAN</a:t>
          </a:r>
        </a:p>
      </xdr:txBody>
    </xdr:sp>
    <xdr:clientData/>
  </xdr:twoCellAnchor>
  <xdr:twoCellAnchor>
    <xdr:from>
      <xdr:col>0</xdr:col>
      <xdr:colOff>161925</xdr:colOff>
      <xdr:row>16</xdr:row>
      <xdr:rowOff>171450</xdr:rowOff>
    </xdr:from>
    <xdr:to>
      <xdr:col>3</xdr:col>
      <xdr:colOff>228600</xdr:colOff>
      <xdr:row>19</xdr:row>
      <xdr:rowOff>57150</xdr:rowOff>
    </xdr:to>
    <xdr:sp macro="" textlink="">
      <xdr:nvSpPr>
        <xdr:cNvPr id="14" name="Rounded Rectangle 13"/>
        <xdr:cNvSpPr/>
      </xdr:nvSpPr>
      <xdr:spPr>
        <a:xfrm>
          <a:off x="161925" y="3067050"/>
          <a:ext cx="2124075" cy="428625"/>
        </a:xfrm>
        <a:prstGeom prst="round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a:solidFill>
                <a:schemeClr val="tx1"/>
              </a:solidFill>
              <a:latin typeface="Calibri" panose="020F0502020204030204" pitchFamily="34" charset="0"/>
              <a:ea typeface="Calibri" panose="020F0502020204030204" pitchFamily="34" charset="0"/>
              <a:cs typeface="Calibri" panose="020F0502020204030204" pitchFamily="34" charset="0"/>
            </a:rPr>
            <a:t>ABOUT</a:t>
          </a:r>
        </a:p>
      </xdr:txBody>
    </xdr:sp>
    <xdr:clientData/>
  </xdr:twoCellAnchor>
  <xdr:twoCellAnchor editAs="oneCell">
    <xdr:from>
      <xdr:col>10</xdr:col>
      <xdr:colOff>114300</xdr:colOff>
      <xdr:row>1</xdr:row>
      <xdr:rowOff>9526</xdr:rowOff>
    </xdr:from>
    <xdr:to>
      <xdr:col>18</xdr:col>
      <xdr:colOff>19049</xdr:colOff>
      <xdr:row>6</xdr:row>
      <xdr:rowOff>190501</xdr:rowOff>
    </xdr:to>
    <mc:AlternateContent xmlns:mc="http://schemas.openxmlformats.org/markup-compatibility/2006" xmlns:a14="http://schemas.microsoft.com/office/drawing/2010/main">
      <mc:Choice Requires="a14">
        <xdr:graphicFrame macro="">
          <xdr:nvGraphicFramePr>
            <xdr:cNvPr id="15" name="Place 4"/>
            <xdr:cNvGraphicFramePr/>
          </xdr:nvGraphicFramePr>
          <xdr:xfrm>
            <a:off x="0" y="0"/>
            <a:ext cx="0" cy="0"/>
          </xdr:xfrm>
          <a:graphic>
            <a:graphicData uri="http://schemas.microsoft.com/office/drawing/2010/slicer">
              <sle:slicer xmlns:sle="http://schemas.microsoft.com/office/drawing/2010/slicer" name="Place 4"/>
            </a:graphicData>
          </a:graphic>
        </xdr:graphicFrame>
      </mc:Choice>
      <mc:Fallback xmlns="">
        <xdr:sp macro="" textlink="">
          <xdr:nvSpPr>
            <xdr:cNvPr id="0" name=""/>
            <xdr:cNvSpPr>
              <a:spLocks noTextEdit="1"/>
            </xdr:cNvSpPr>
          </xdr:nvSpPr>
          <xdr:spPr>
            <a:xfrm>
              <a:off x="6972300" y="219076"/>
              <a:ext cx="5391149" cy="1228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361951</xdr:colOff>
      <xdr:row>1</xdr:row>
      <xdr:rowOff>9525</xdr:rowOff>
    </xdr:from>
    <xdr:to>
      <xdr:col>10</xdr:col>
      <xdr:colOff>38101</xdr:colOff>
      <xdr:row>6</xdr:row>
      <xdr:rowOff>180976</xdr:rowOff>
    </xdr:to>
    <mc:AlternateContent xmlns:mc="http://schemas.openxmlformats.org/markup-compatibility/2006" xmlns:tsle="http://schemas.microsoft.com/office/drawing/2012/timeslicer">
      <mc:Choice Requires="tsle">
        <xdr:graphicFrame macro="">
          <xdr:nvGraphicFramePr>
            <xdr:cNvPr id="16" name="Date 4"/>
            <xdr:cNvGraphicFramePr/>
          </xdr:nvGraphicFramePr>
          <xdr:xfrm>
            <a:off x="0" y="0"/>
            <a:ext cx="0" cy="0"/>
          </xdr:xfrm>
          <a:graphic>
            <a:graphicData uri="http://schemas.microsoft.com/office/drawing/2012/timeslicer">
              <tsle:timeslicer name="Date 4"/>
            </a:graphicData>
          </a:graphic>
        </xdr:graphicFrame>
      </mc:Choice>
      <mc:Fallback xmlns="">
        <xdr:sp macro="" textlink="">
          <xdr:nvSpPr>
            <xdr:cNvPr id="0" name=""/>
            <xdr:cNvSpPr>
              <a:spLocks noTextEdit="1"/>
            </xdr:cNvSpPr>
          </xdr:nvSpPr>
          <xdr:spPr>
            <a:xfrm>
              <a:off x="2419351" y="219075"/>
              <a:ext cx="4476750" cy="1219201"/>
            </a:xfrm>
            <a:prstGeom prst="rect">
              <a:avLst/>
            </a:prstGeom>
            <a:solidFill>
              <a:prstClr val="white"/>
            </a:solidFill>
            <a:ln w="1">
              <a:solidFill>
                <a:prstClr val="green"/>
              </a:solidFill>
            </a:ln>
          </xdr:spPr>
          <xdr:txBody>
            <a:bodyPr vertOverflow="clip" horzOverflow="clip"/>
            <a:lstStyle/>
            <a:p>
              <a:r>
                <a:rPr lang="en-IN" sz="1100"/>
                <a:t>Timeline: Works in Excel or higher. Do not move or resize.</a:t>
              </a:r>
            </a:p>
          </xdr:txBody>
        </xdr:sp>
      </mc:Fallback>
    </mc:AlternateContent>
    <xdr:clientData/>
  </xdr:twoCellAnchor>
  <xdr:twoCellAnchor editAs="oneCell">
    <xdr:from>
      <xdr:col>3</xdr:col>
      <xdr:colOff>361950</xdr:colOff>
      <xdr:row>7</xdr:row>
      <xdr:rowOff>57151</xdr:rowOff>
    </xdr:from>
    <xdr:to>
      <xdr:col>18</xdr:col>
      <xdr:colOff>0</xdr:colOff>
      <xdr:row>10</xdr:row>
      <xdr:rowOff>85725</xdr:rowOff>
    </xdr:to>
    <mc:AlternateContent xmlns:mc="http://schemas.openxmlformats.org/markup-compatibility/2006" xmlns:a14="http://schemas.microsoft.com/office/drawing/2010/main">
      <mc:Choice Requires="a14">
        <xdr:graphicFrame macro="">
          <xdr:nvGraphicFramePr>
            <xdr:cNvPr id="17" name="Products 4"/>
            <xdr:cNvGraphicFramePr/>
          </xdr:nvGraphicFramePr>
          <xdr:xfrm>
            <a:off x="0" y="0"/>
            <a:ext cx="0" cy="0"/>
          </xdr:xfrm>
          <a:graphic>
            <a:graphicData uri="http://schemas.microsoft.com/office/drawing/2010/slicer">
              <sle:slicer xmlns:sle="http://schemas.microsoft.com/office/drawing/2010/slicer" name="Products 4"/>
            </a:graphicData>
          </a:graphic>
        </xdr:graphicFrame>
      </mc:Choice>
      <mc:Fallback xmlns="">
        <xdr:sp macro="" textlink="">
          <xdr:nvSpPr>
            <xdr:cNvPr id="0" name=""/>
            <xdr:cNvSpPr>
              <a:spLocks noTextEdit="1"/>
            </xdr:cNvSpPr>
          </xdr:nvSpPr>
          <xdr:spPr>
            <a:xfrm>
              <a:off x="2419350" y="1524001"/>
              <a:ext cx="9925050" cy="6572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400050</xdr:colOff>
      <xdr:row>13</xdr:row>
      <xdr:rowOff>152400</xdr:rowOff>
    </xdr:from>
    <xdr:to>
      <xdr:col>17</xdr:col>
      <xdr:colOff>647700</xdr:colOff>
      <xdr:row>27</xdr:row>
      <xdr:rowOff>85725</xdr:rowOff>
    </xdr:to>
    <xdr:sp macro="" textlink="">
      <xdr:nvSpPr>
        <xdr:cNvPr id="18" name="Rectangle 17"/>
        <xdr:cNvSpPr/>
      </xdr:nvSpPr>
      <xdr:spPr>
        <a:xfrm>
          <a:off x="2457450" y="2505075"/>
          <a:ext cx="9848850" cy="246697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ln>
                <a:solidFill>
                  <a:sysClr val="windowText" lastClr="000000"/>
                </a:solidFill>
              </a:ln>
              <a:solidFill>
                <a:schemeClr val="tx1"/>
              </a:solidFill>
            </a:rPr>
            <a:t>Version:</a:t>
          </a:r>
        </a:p>
        <a:p>
          <a:pPr algn="l"/>
          <a:r>
            <a:rPr lang="en-IN" sz="1500">
              <a:solidFill>
                <a:schemeClr val="tx1"/>
              </a:solidFill>
              <a:latin typeface="Calibri" panose="020F0502020204030204" pitchFamily="34" charset="0"/>
              <a:ea typeface="Calibri" panose="020F0502020204030204" pitchFamily="34" charset="0"/>
              <a:cs typeface="Calibri" panose="020F0502020204030204" pitchFamily="34" charset="0"/>
            </a:rPr>
            <a:t>1."This dashboard analyzes product sales, total sales amount, and total units sold using interactive filters. </a:t>
          </a:r>
        </a:p>
        <a:p>
          <a:pPr algn="l"/>
          <a:r>
            <a:rPr lang="en-IN" sz="1500">
              <a:solidFill>
                <a:schemeClr val="tx1"/>
              </a:solidFill>
              <a:latin typeface="Calibri" panose="020F0502020204030204" pitchFamily="34" charset="0"/>
              <a:ea typeface="Calibri" panose="020F0502020204030204" pitchFamily="34" charset="0"/>
              <a:cs typeface="Calibri" panose="020F0502020204030204" pitchFamily="34" charset="0"/>
            </a:rPr>
            <a:t>2.The </a:t>
          </a:r>
          <a:r>
            <a:rPr lang="en-IN" sz="1500" b="1">
              <a:solidFill>
                <a:schemeClr val="tx1"/>
              </a:solidFill>
              <a:latin typeface="Calibri" panose="020F0502020204030204" pitchFamily="34" charset="0"/>
              <a:ea typeface="Calibri" panose="020F0502020204030204" pitchFamily="34" charset="0"/>
              <a:cs typeface="Calibri" panose="020F0502020204030204" pitchFamily="34" charset="0"/>
            </a:rPr>
            <a:t>Dashboard</a:t>
          </a:r>
          <a:r>
            <a:rPr lang="en-IN" sz="1500">
              <a:solidFill>
                <a:schemeClr val="tx1"/>
              </a:solidFill>
              <a:latin typeface="Calibri" panose="020F0502020204030204" pitchFamily="34" charset="0"/>
              <a:ea typeface="Calibri" panose="020F0502020204030204" pitchFamily="34" charset="0"/>
              <a:cs typeface="Calibri" panose="020F0502020204030204" pitchFamily="34" charset="0"/>
            </a:rPr>
            <a:t> page provides an overview of sales by month, product, and place. </a:t>
          </a:r>
        </a:p>
        <a:p>
          <a:pPr algn="l"/>
          <a:r>
            <a:rPr lang="en-IN" sz="1500">
              <a:solidFill>
                <a:schemeClr val="tx1"/>
              </a:solidFill>
              <a:latin typeface="Calibri" panose="020F0502020204030204" pitchFamily="34" charset="0"/>
              <a:ea typeface="Calibri" panose="020F0502020204030204" pitchFamily="34" charset="0"/>
              <a:cs typeface="Calibri" panose="020F0502020204030204" pitchFamily="34" charset="0"/>
            </a:rPr>
            <a:t>3.The </a:t>
          </a:r>
          <a:r>
            <a:rPr lang="en-IN" sz="1500" b="1">
              <a:solidFill>
                <a:schemeClr val="tx1"/>
              </a:solidFill>
              <a:latin typeface="Calibri" panose="020F0502020204030204" pitchFamily="34" charset="0"/>
              <a:ea typeface="Calibri" panose="020F0502020204030204" pitchFamily="34" charset="0"/>
              <a:cs typeface="Calibri" panose="020F0502020204030204" pitchFamily="34" charset="0"/>
            </a:rPr>
            <a:t>Product</a:t>
          </a:r>
          <a:r>
            <a:rPr lang="en-IN" sz="1500">
              <a:solidFill>
                <a:schemeClr val="tx1"/>
              </a:solidFill>
              <a:latin typeface="Calibri" panose="020F0502020204030204" pitchFamily="34" charset="0"/>
              <a:ea typeface="Calibri" panose="020F0502020204030204" pitchFamily="34" charset="0"/>
              <a:cs typeface="Calibri" panose="020F0502020204030204" pitchFamily="34" charset="0"/>
            </a:rPr>
            <a:t> page highlights the Top 3 and Bottom 3 selling products. </a:t>
          </a:r>
        </a:p>
        <a:p>
          <a:pPr algn="l"/>
          <a:r>
            <a:rPr lang="en-IN" sz="1500">
              <a:solidFill>
                <a:schemeClr val="tx1"/>
              </a:solidFill>
              <a:latin typeface="Calibri" panose="020F0502020204030204" pitchFamily="34" charset="0"/>
              <a:ea typeface="Calibri" panose="020F0502020204030204" pitchFamily="34" charset="0"/>
              <a:cs typeface="Calibri" panose="020F0502020204030204" pitchFamily="34" charset="0"/>
            </a:rPr>
            <a:t>4.The </a:t>
          </a:r>
          <a:r>
            <a:rPr lang="en-IN" sz="1500" b="1">
              <a:solidFill>
                <a:schemeClr val="tx1"/>
              </a:solidFill>
              <a:latin typeface="Calibri" panose="020F0502020204030204" pitchFamily="34" charset="0"/>
              <a:ea typeface="Calibri" panose="020F0502020204030204" pitchFamily="34" charset="0"/>
              <a:cs typeface="Calibri" panose="020F0502020204030204" pitchFamily="34" charset="0"/>
            </a:rPr>
            <a:t>Sales Man</a:t>
          </a:r>
          <a:r>
            <a:rPr lang="en-IN" sz="1500">
              <a:solidFill>
                <a:schemeClr val="tx1"/>
              </a:solidFill>
              <a:latin typeface="Calibri" panose="020F0502020204030204" pitchFamily="34" charset="0"/>
              <a:ea typeface="Calibri" panose="020F0502020204030204" pitchFamily="34" charset="0"/>
              <a:cs typeface="Calibri" panose="020F0502020204030204" pitchFamily="34" charset="0"/>
            </a:rPr>
            <a:t> page analyzes salesperson performance, including the Top 3 and Bottom 3 performers. </a:t>
          </a:r>
        </a:p>
        <a:p>
          <a:pPr algn="l"/>
          <a:r>
            <a:rPr lang="en-IN" sz="1500">
              <a:solidFill>
                <a:schemeClr val="tx1"/>
              </a:solidFill>
              <a:latin typeface="Calibri" panose="020F0502020204030204" pitchFamily="34" charset="0"/>
              <a:ea typeface="Calibri" panose="020F0502020204030204" pitchFamily="34" charset="0"/>
              <a:cs typeface="Calibri" panose="020F0502020204030204" pitchFamily="34" charset="0"/>
            </a:rPr>
            <a:t>5.Interactive slicers allow users to filter data by date, product, and location. </a:t>
          </a:r>
        </a:p>
        <a:p>
          <a:pPr algn="l"/>
          <a:r>
            <a:rPr lang="en-IN" sz="1500">
              <a:solidFill>
                <a:schemeClr val="tx1"/>
              </a:solidFill>
              <a:latin typeface="Calibri" panose="020F0502020204030204" pitchFamily="34" charset="0"/>
              <a:ea typeface="Calibri" panose="020F0502020204030204" pitchFamily="34" charset="0"/>
              <a:cs typeface="Calibri" panose="020F0502020204030204" pitchFamily="34" charset="0"/>
            </a:rPr>
            <a:t>6.This project was developed using Microsoft Excel 2016.</a:t>
          </a:r>
          <a:endParaRPr lang="en-IN" sz="1500" b="1" cap="none" spc="0">
            <a:ln w="0"/>
            <a:solidFill>
              <a:schemeClr val="tx1"/>
            </a:solidFill>
            <a:effectLst>
              <a:outerShdw blurRad="38100" dist="19050" dir="2700000" algn="tl" rotWithShape="0">
                <a:schemeClr val="dk1">
                  <a:alpha val="40000"/>
                </a:schemeClr>
              </a:outerShdw>
            </a:effectLst>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editAs="oneCell">
    <xdr:from>
      <xdr:col>3</xdr:col>
      <xdr:colOff>534522</xdr:colOff>
      <xdr:row>11</xdr:row>
      <xdr:rowOff>123826</xdr:rowOff>
    </xdr:from>
    <xdr:to>
      <xdr:col>4</xdr:col>
      <xdr:colOff>180976</xdr:colOff>
      <xdr:row>13</xdr:row>
      <xdr:rowOff>47625</xdr:rowOff>
    </xdr:to>
    <xdr:pic>
      <xdr:nvPicPr>
        <xdr:cNvPr id="25" name="Picture 24" descr="Clipart - Person icon"/>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2591922" y="2114551"/>
          <a:ext cx="332254" cy="342899"/>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B Venkatesh" refreshedDate="45709.860241435184" createdVersion="6" refreshedVersion="6" minRefreshableVersion="3" recordCount="278">
  <cacheSource type="worksheet">
    <worksheetSource ref="A1:G279" sheet="Sales_Data"/>
  </cacheSource>
  <cacheFields count="9">
    <cacheField name="Date" numFmtId="14">
      <sharedItems containsSemiMixedTypes="0" containsNonDate="0" containsDate="1" containsString="0" minDate="2020-01-01T00:00:00" maxDate="2022-12-31T00:00:00" count="278">
        <d v="2020-01-01T00:00:00"/>
        <d v="2020-01-05T00:00:00"/>
        <d v="2020-01-09T00:00:00"/>
        <d v="2020-01-13T00:00:00"/>
        <d v="2020-01-17T00:00:00"/>
        <d v="2020-01-21T00:00:00"/>
        <d v="2020-01-25T00:00:00"/>
        <d v="2020-01-29T00:00:00"/>
        <d v="2020-02-02T00:00:00"/>
        <d v="2020-02-06T00:00:00"/>
        <d v="2020-02-10T00:00:00"/>
        <d v="2020-02-14T00:00:00"/>
        <d v="2020-02-18T00:00:00"/>
        <d v="2020-02-22T00:00:00"/>
        <d v="2020-02-26T00:00:00"/>
        <d v="2020-03-01T00:00:00"/>
        <d v="2020-03-05T00:00:00"/>
        <d v="2020-03-09T00:00:00"/>
        <d v="2020-03-13T00:00:00"/>
        <d v="2020-03-17T00:00:00"/>
        <d v="2020-03-21T00:00:00"/>
        <d v="2020-03-25T00:00:00"/>
        <d v="2020-03-29T00:00:00"/>
        <d v="2020-04-02T00:00:00"/>
        <d v="2020-04-06T00:00:00"/>
        <d v="2020-04-10T00:00:00"/>
        <d v="2020-04-14T00:00:00"/>
        <d v="2020-04-18T00:00:00"/>
        <d v="2020-04-22T00:00:00"/>
        <d v="2020-04-26T00:00:00"/>
        <d v="2020-04-30T00:00:00"/>
        <d v="2020-05-04T00:00:00"/>
        <d v="2020-05-08T00:00:00"/>
        <d v="2020-05-12T00:00:00"/>
        <d v="2020-05-16T00:00:00"/>
        <d v="2020-05-20T00:00:00"/>
        <d v="2020-05-24T00:00:00"/>
        <d v="2020-05-28T00:00:00"/>
        <d v="2020-06-01T00:00:00"/>
        <d v="2020-06-05T00:00:00"/>
        <d v="2020-06-09T00:00:00"/>
        <d v="2020-06-13T00:00:00"/>
        <d v="2020-06-17T00:00:00"/>
        <d v="2020-06-21T00:00:00"/>
        <d v="2020-06-25T00:00:00"/>
        <d v="2020-06-29T00:00:00"/>
        <d v="2020-07-03T00:00:00"/>
        <d v="2020-07-07T00:00:00"/>
        <d v="2020-07-11T00:00:00"/>
        <d v="2020-07-15T00:00:00"/>
        <d v="2020-07-19T00:00:00"/>
        <d v="2020-07-23T00:00:00"/>
        <d v="2020-07-27T00:00:00"/>
        <d v="2020-07-31T00:00:00"/>
        <d v="2020-08-04T00:00:00"/>
        <d v="2020-08-08T00:00:00"/>
        <d v="2020-08-12T00:00:00"/>
        <d v="2020-08-16T00:00:00"/>
        <d v="2020-08-20T00:00:00"/>
        <d v="2020-08-24T00:00:00"/>
        <d v="2020-08-28T00:00:00"/>
        <d v="2020-09-01T00:00:00"/>
        <d v="2020-09-05T00:00:00"/>
        <d v="2020-09-09T00:00:00"/>
        <d v="2020-09-13T00:00:00"/>
        <d v="2020-09-17T00:00:00"/>
        <d v="2020-09-21T00:00:00"/>
        <d v="2020-09-25T00:00:00"/>
        <d v="2020-09-29T00:00:00"/>
        <d v="2020-10-03T00:00:00"/>
        <d v="2020-10-07T00:00:00"/>
        <d v="2020-10-11T00:00:00"/>
        <d v="2020-10-15T00:00:00"/>
        <d v="2020-10-19T00:00:00"/>
        <d v="2020-10-23T00:00:00"/>
        <d v="2020-10-27T00:00:00"/>
        <d v="2020-10-31T00:00:00"/>
        <d v="2020-11-04T00:00:00"/>
        <d v="2020-11-08T00:00:00"/>
        <d v="2020-11-12T00:00:00"/>
        <d v="2020-11-16T00:00:00"/>
        <d v="2020-11-20T00:00:00"/>
        <d v="2020-11-24T00:00:00"/>
        <d v="2020-11-28T00:00:00"/>
        <d v="2020-12-02T00:00:00"/>
        <d v="2020-12-06T00:00:00"/>
        <d v="2020-12-10T00:00:00"/>
        <d v="2020-12-14T00:00:00"/>
        <d v="2020-12-18T00:00:00"/>
        <d v="2020-12-22T00:00:00"/>
        <d v="2020-12-26T00:00:00"/>
        <d v="2020-12-30T00:00:00"/>
        <d v="2021-01-03T00:00:00"/>
        <d v="2021-01-07T00:00:00"/>
        <d v="2021-01-11T00:00:00"/>
        <d v="2021-01-15T00:00:00"/>
        <d v="2021-01-19T00:00:00"/>
        <d v="2021-01-23T00:00:00"/>
        <d v="2021-01-27T00:00:00"/>
        <d v="2021-01-31T00:00:00"/>
        <d v="2021-02-04T00:00:00"/>
        <d v="2021-02-08T00:00:00"/>
        <d v="2021-02-12T00:00:00"/>
        <d v="2021-02-16T00:00:00"/>
        <d v="2021-02-20T00:00:00"/>
        <d v="2021-02-24T00:00:00"/>
        <d v="2021-02-28T00:00:00"/>
        <d v="2021-03-04T00:00:00"/>
        <d v="2021-03-08T00:00:00"/>
        <d v="2021-03-12T00:00:00"/>
        <d v="2021-03-16T00:00:00"/>
        <d v="2021-03-20T00:00:00"/>
        <d v="2021-03-24T00:00:00"/>
        <d v="2021-03-28T00:00:00"/>
        <d v="2021-04-01T00:00:00"/>
        <d v="2021-04-05T00:00:00"/>
        <d v="2021-04-09T00:00:00"/>
        <d v="2021-04-13T00:00:00"/>
        <d v="2021-04-17T00:00:00"/>
        <d v="2021-04-21T00:00:00"/>
        <d v="2021-04-25T00:00:00"/>
        <d v="2021-04-29T00:00:00"/>
        <d v="2021-05-03T00:00:00"/>
        <d v="2021-05-07T00:00:00"/>
        <d v="2021-05-11T00:00:00"/>
        <d v="2021-05-15T00:00:00"/>
        <d v="2021-05-19T00:00:00"/>
        <d v="2021-05-23T00:00:00"/>
        <d v="2021-05-27T00:00:00"/>
        <d v="2021-05-31T00:00:00"/>
        <d v="2021-06-04T00:00:00"/>
        <d v="2021-06-08T00:00:00"/>
        <d v="2021-06-12T00:00:00"/>
        <d v="2021-06-16T00:00:00"/>
        <d v="2021-06-20T00:00:00"/>
        <d v="2021-06-24T00:00:00"/>
        <d v="2021-06-28T00:00:00"/>
        <d v="2021-07-02T00:00:00"/>
        <d v="2021-07-06T00:00:00"/>
        <d v="2021-07-10T00:00:00"/>
        <d v="2021-07-14T00:00:00"/>
        <d v="2021-07-18T00:00:00"/>
        <d v="2021-07-22T00:00:00"/>
        <d v="2021-07-26T00:00:00"/>
        <d v="2021-07-30T00:00:00"/>
        <d v="2021-08-03T00:00:00"/>
        <d v="2021-08-07T00:00:00"/>
        <d v="2021-08-11T00:00:00"/>
        <d v="2021-08-15T00:00:00"/>
        <d v="2021-08-19T00:00:00"/>
        <d v="2021-08-23T00:00:00"/>
        <d v="2021-08-27T00:00:00"/>
        <d v="2021-08-31T00:00:00"/>
        <d v="2021-09-04T00:00:00"/>
        <d v="2021-09-08T00:00:00"/>
        <d v="2021-09-12T00:00:00"/>
        <d v="2021-09-16T00:00:00"/>
        <d v="2021-09-20T00:00:00"/>
        <d v="2021-09-24T00:00:00"/>
        <d v="2021-09-28T00:00:00"/>
        <d v="2021-10-02T00:00:00"/>
        <d v="2021-10-06T00:00:00"/>
        <d v="2021-10-10T00:00:00"/>
        <d v="2021-10-14T00:00:00"/>
        <d v="2021-10-18T00:00:00"/>
        <d v="2021-10-22T00:00:00"/>
        <d v="2021-10-26T00:00:00"/>
        <d v="2021-10-30T00:00:00"/>
        <d v="2021-11-03T00:00:00"/>
        <d v="2021-11-07T00:00:00"/>
        <d v="2021-11-11T00:00:00"/>
        <d v="2021-11-15T00:00:00"/>
        <d v="2021-11-19T00:00:00"/>
        <d v="2021-11-23T00:00:00"/>
        <d v="2021-11-27T00:00:00"/>
        <d v="2021-12-01T00:00:00"/>
        <d v="2021-12-05T00:00:00"/>
        <d v="2021-12-09T00:00:00"/>
        <d v="2021-12-13T00:00:00"/>
        <d v="2021-12-17T00:00:00"/>
        <d v="2021-12-21T00:00:00"/>
        <d v="2021-12-25T00:00:00"/>
        <d v="2021-12-29T00:00:00"/>
        <d v="2022-01-02T00:00:00"/>
        <d v="2022-01-06T00:00:00"/>
        <d v="2022-01-10T00:00:00"/>
        <d v="2022-01-14T00:00:00"/>
        <d v="2022-01-18T00:00:00"/>
        <d v="2022-01-22T00:00:00"/>
        <d v="2022-01-26T00:00:00"/>
        <d v="2022-01-30T00:00:00"/>
        <d v="2022-02-03T00:00:00"/>
        <d v="2022-02-07T00:00:00"/>
        <d v="2022-02-11T00:00:00"/>
        <d v="2022-02-15T00:00:00"/>
        <d v="2022-02-19T00:00:00"/>
        <d v="2022-02-23T00:00:00"/>
        <d v="2022-02-27T00:00:00"/>
        <d v="2022-03-03T00:00:00"/>
        <d v="2022-03-07T00:00:00"/>
        <d v="2022-03-11T00:00:00"/>
        <d v="2022-03-15T00:00:00"/>
        <d v="2022-03-19T00:00:00"/>
        <d v="2022-03-23T00:00:00"/>
        <d v="2022-03-27T00:00:00"/>
        <d v="2022-03-31T00:00:00"/>
        <d v="2022-04-04T00:00:00"/>
        <d v="2022-04-08T00:00:00"/>
        <d v="2022-04-12T00:00:00"/>
        <d v="2022-04-16T00:00:00"/>
        <d v="2022-04-20T00:00:00"/>
        <d v="2022-04-24T00:00:00"/>
        <d v="2022-04-28T00:00:00"/>
        <d v="2022-05-02T00:00:00"/>
        <d v="2022-05-06T00:00:00"/>
        <d v="2022-05-10T00:00:00"/>
        <d v="2022-05-14T00:00:00"/>
        <d v="2022-05-18T00:00:00"/>
        <d v="2022-05-22T00:00:00"/>
        <d v="2022-05-26T00:00:00"/>
        <d v="2022-05-30T00:00:00"/>
        <d v="2022-06-03T00:00:00"/>
        <d v="2022-06-07T00:00:00"/>
        <d v="2022-06-11T00:00:00"/>
        <d v="2022-06-15T00:00:00"/>
        <d v="2022-06-19T00:00:00"/>
        <d v="2022-06-23T00:00:00"/>
        <d v="2022-06-27T00:00:00"/>
        <d v="2022-07-01T00:00:00"/>
        <d v="2022-07-05T00:00:00"/>
        <d v="2022-07-09T00:00:00"/>
        <d v="2022-07-13T00:00:00"/>
        <d v="2022-07-17T00:00:00"/>
        <d v="2022-07-21T00:00:00"/>
        <d v="2022-07-25T00:00:00"/>
        <d v="2022-07-29T00:00:00"/>
        <d v="2022-08-02T00:00:00"/>
        <d v="2022-08-06T00:00:00"/>
        <d v="2022-08-10T00:00:00"/>
        <d v="2022-08-14T00:00:00"/>
        <d v="2022-08-18T00:00:00"/>
        <d v="2022-08-22T00:00:00"/>
        <d v="2022-08-26T00:00:00"/>
        <d v="2022-08-30T00:00:00"/>
        <d v="2022-09-03T00:00:00"/>
        <d v="2022-09-07T00:00:00"/>
        <d v="2022-09-11T00:00:00"/>
        <d v="2022-09-15T00:00:00"/>
        <d v="2022-09-19T00:00:00"/>
        <d v="2022-09-23T00:00:00"/>
        <d v="2022-09-27T00:00:00"/>
        <d v="2022-10-01T00:00:00"/>
        <d v="2022-10-05T00:00:00"/>
        <d v="2022-10-09T00:00:00"/>
        <d v="2022-10-13T00:00:00"/>
        <d v="2022-10-17T00:00:00"/>
        <d v="2022-10-21T00:00:00"/>
        <d v="2022-10-25T00:00:00"/>
        <d v="2022-10-29T00:00:00"/>
        <d v="2022-11-02T00:00:00"/>
        <d v="2022-11-06T00:00:00"/>
        <d v="2022-11-10T00:00:00"/>
        <d v="2022-11-14T00:00:00"/>
        <d v="2022-11-18T00:00:00"/>
        <d v="2022-11-22T00:00:00"/>
        <d v="2022-11-26T00:00:00"/>
        <d v="2022-11-30T00:00:00"/>
        <d v="2022-12-04T00:00:00"/>
        <d v="2022-12-08T00:00:00"/>
        <d v="2022-12-12T00:00:00"/>
        <d v="2022-12-16T00:00:00"/>
        <d v="2022-12-20T00:00:00"/>
        <d v="2022-12-24T00:00:00"/>
        <d v="2022-12-28T00:00:00"/>
        <d v="2022-12-18T00:00:00"/>
        <d v="2022-12-22T00:00:00"/>
        <d v="2022-12-27T00:00:00"/>
        <d v="2022-12-30T00:00:00"/>
      </sharedItems>
      <fieldGroup par="8" base="0">
        <rangePr groupBy="months" startDate="2020-01-01T00:00:00" endDate="2022-12-31T00:00:00"/>
        <groupItems count="14">
          <s v="&lt;01-01-2020"/>
          <s v="Jan"/>
          <s v="Feb"/>
          <s v="Mar"/>
          <s v="Apr"/>
          <s v="May"/>
          <s v="Jun"/>
          <s v="Jul"/>
          <s v="Aug"/>
          <s v="Sep"/>
          <s v="Oct"/>
          <s v="Nov"/>
          <s v="Dec"/>
          <s v="&gt;31-12-2022"/>
        </groupItems>
      </fieldGroup>
    </cacheField>
    <cacheField name="Sales Persons" numFmtId="0">
      <sharedItems count="6">
        <s v="Ramesh"/>
        <s v="Kiran"/>
        <s v="Gopi"/>
        <s v="Mahesh"/>
        <s v="Ganesh"/>
        <s v="Prathap"/>
      </sharedItems>
    </cacheField>
    <cacheField name="Products" numFmtId="0">
      <sharedItems count="6">
        <s v="Furniture"/>
        <s v="LED TV's"/>
        <s v="4K LED TV's"/>
        <s v="Mobiles"/>
        <s v="Laptops"/>
        <s v="Speakers"/>
      </sharedItems>
    </cacheField>
    <cacheField name="Place" numFmtId="0">
      <sharedItems count="6">
        <s v="Guntur"/>
        <s v="Vijayawada"/>
        <s v="Bapatla"/>
        <s v="Tenali"/>
        <s v="Chirala"/>
        <s v="Ongole"/>
      </sharedItems>
    </cacheField>
    <cacheField name="Price" numFmtId="0">
      <sharedItems containsSemiMixedTypes="0" containsString="0" containsNumber="1" containsInteger="1" minValue="89" maxValue="99620"/>
    </cacheField>
    <cacheField name="Units" numFmtId="0">
      <sharedItems containsSemiMixedTypes="0" containsString="0" containsNumber="1" containsInteger="1" minValue="4" maxValue="100"/>
    </cacheField>
    <cacheField name="Amount" numFmtId="3">
      <sharedItems containsSemiMixedTypes="0" containsString="0" containsNumber="1" containsInteger="1" minValue="720" maxValue="4250000"/>
    </cacheField>
    <cacheField name="Quarters" numFmtId="0" databaseField="0">
      <fieldGroup base="0">
        <rangePr groupBy="quarters" startDate="2020-01-01T00:00:00" endDate="2022-12-31T00:00:00"/>
        <groupItems count="6">
          <s v="&lt;01-01-2020"/>
          <s v="Qtr1"/>
          <s v="Qtr2"/>
          <s v="Qtr3"/>
          <s v="Qtr4"/>
          <s v="&gt;31-12-2022"/>
        </groupItems>
      </fieldGroup>
    </cacheField>
    <cacheField name="Years" numFmtId="0" databaseField="0">
      <fieldGroup base="0">
        <rangePr groupBy="years" startDate="2020-01-01T00:00:00" endDate="2022-12-31T00:00:00"/>
        <groupItems count="5">
          <s v="&lt;01-01-2020"/>
          <s v="2020"/>
          <s v="2021"/>
          <s v="2022"/>
          <s v="&gt;31-12-2022"/>
        </groupItems>
      </fieldGroup>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278">
  <r>
    <x v="0"/>
    <x v="0"/>
    <x v="0"/>
    <x v="0"/>
    <n v="499"/>
    <n v="50"/>
    <n v="24950"/>
  </r>
  <r>
    <x v="1"/>
    <x v="1"/>
    <x v="0"/>
    <x v="1"/>
    <n v="5599"/>
    <n v="33"/>
    <n v="184767"/>
  </r>
  <r>
    <x v="2"/>
    <x v="2"/>
    <x v="1"/>
    <x v="2"/>
    <n v="1450"/>
    <n v="44"/>
    <n v="63800"/>
  </r>
  <r>
    <x v="3"/>
    <x v="3"/>
    <x v="2"/>
    <x v="0"/>
    <n v="85000"/>
    <n v="50"/>
    <n v="4250000"/>
  </r>
  <r>
    <x v="4"/>
    <x v="3"/>
    <x v="3"/>
    <x v="3"/>
    <n v="15000"/>
    <n v="11"/>
    <n v="165000"/>
  </r>
  <r>
    <x v="5"/>
    <x v="1"/>
    <x v="0"/>
    <x v="3"/>
    <n v="2550"/>
    <n v="48"/>
    <n v="122400"/>
  </r>
  <r>
    <x v="6"/>
    <x v="4"/>
    <x v="4"/>
    <x v="2"/>
    <n v="33000"/>
    <n v="26"/>
    <n v="858000"/>
  </r>
  <r>
    <x v="7"/>
    <x v="0"/>
    <x v="2"/>
    <x v="4"/>
    <n v="86000"/>
    <n v="39"/>
    <n v="3354000"/>
  </r>
  <r>
    <x v="8"/>
    <x v="2"/>
    <x v="5"/>
    <x v="3"/>
    <n v="990"/>
    <n v="9"/>
    <n v="8910"/>
  </r>
  <r>
    <x v="9"/>
    <x v="0"/>
    <x v="0"/>
    <x v="0"/>
    <n v="5599"/>
    <n v="41"/>
    <n v="229559"/>
  </r>
  <r>
    <x v="10"/>
    <x v="4"/>
    <x v="4"/>
    <x v="2"/>
    <n v="499"/>
    <n v="39"/>
    <n v="19461"/>
  </r>
  <r>
    <x v="11"/>
    <x v="1"/>
    <x v="5"/>
    <x v="0"/>
    <n v="1999"/>
    <n v="4"/>
    <n v="7996"/>
  </r>
  <r>
    <x v="12"/>
    <x v="3"/>
    <x v="2"/>
    <x v="0"/>
    <n v="63400"/>
    <n v="8"/>
    <n v="507200"/>
  </r>
  <r>
    <x v="13"/>
    <x v="5"/>
    <x v="5"/>
    <x v="3"/>
    <n v="1499"/>
    <n v="27"/>
    <n v="40473"/>
  </r>
  <r>
    <x v="14"/>
    <x v="3"/>
    <x v="3"/>
    <x v="2"/>
    <n v="120"/>
    <n v="10"/>
    <n v="1200"/>
  </r>
  <r>
    <x v="15"/>
    <x v="1"/>
    <x v="4"/>
    <x v="4"/>
    <n v="11999"/>
    <n v="17"/>
    <n v="203983"/>
  </r>
  <r>
    <x v="16"/>
    <x v="2"/>
    <x v="2"/>
    <x v="1"/>
    <n v="47500"/>
    <n v="27"/>
    <n v="1282500"/>
  </r>
  <r>
    <x v="17"/>
    <x v="4"/>
    <x v="4"/>
    <x v="1"/>
    <n v="2999"/>
    <n v="43"/>
    <n v="128957"/>
  </r>
  <r>
    <x v="18"/>
    <x v="3"/>
    <x v="3"/>
    <x v="1"/>
    <n v="8900"/>
    <n v="9"/>
    <n v="80100"/>
  </r>
  <r>
    <x v="19"/>
    <x v="1"/>
    <x v="4"/>
    <x v="0"/>
    <n v="22000"/>
    <n v="42"/>
    <n v="924000"/>
  </r>
  <r>
    <x v="20"/>
    <x v="2"/>
    <x v="1"/>
    <x v="1"/>
    <n v="1250"/>
    <n v="6"/>
    <n v="7500"/>
  </r>
  <r>
    <x v="21"/>
    <x v="3"/>
    <x v="3"/>
    <x v="3"/>
    <n v="999"/>
    <n v="28"/>
    <n v="27972"/>
  </r>
  <r>
    <x v="22"/>
    <x v="4"/>
    <x v="1"/>
    <x v="4"/>
    <n v="1450"/>
    <n v="13"/>
    <n v="18850"/>
  </r>
  <r>
    <x v="23"/>
    <x v="4"/>
    <x v="1"/>
    <x v="2"/>
    <n v="23999"/>
    <n v="8"/>
    <n v="191992"/>
  </r>
  <r>
    <x v="24"/>
    <x v="1"/>
    <x v="2"/>
    <x v="4"/>
    <n v="65200"/>
    <n v="7"/>
    <n v="456400"/>
  </r>
  <r>
    <x v="25"/>
    <x v="1"/>
    <x v="5"/>
    <x v="1"/>
    <n v="699"/>
    <n v="45"/>
    <n v="31455"/>
  </r>
  <r>
    <x v="26"/>
    <x v="0"/>
    <x v="0"/>
    <x v="0"/>
    <n v="2550"/>
    <n v="22"/>
    <n v="56100"/>
  </r>
  <r>
    <x v="27"/>
    <x v="2"/>
    <x v="4"/>
    <x v="4"/>
    <n v="22000"/>
    <n v="4"/>
    <n v="88000"/>
  </r>
  <r>
    <x v="28"/>
    <x v="4"/>
    <x v="2"/>
    <x v="0"/>
    <n v="22000"/>
    <n v="10"/>
    <n v="220000"/>
  </r>
  <r>
    <x v="29"/>
    <x v="5"/>
    <x v="5"/>
    <x v="3"/>
    <n v="1499"/>
    <n v="16"/>
    <n v="23984"/>
  </r>
  <r>
    <x v="30"/>
    <x v="1"/>
    <x v="3"/>
    <x v="4"/>
    <n v="120"/>
    <n v="22"/>
    <n v="2640"/>
  </r>
  <r>
    <x v="31"/>
    <x v="0"/>
    <x v="0"/>
    <x v="2"/>
    <n v="1450"/>
    <n v="20"/>
    <n v="29000"/>
  </r>
  <r>
    <x v="32"/>
    <x v="5"/>
    <x v="5"/>
    <x v="3"/>
    <n v="1999"/>
    <n v="23"/>
    <n v="45977"/>
  </r>
  <r>
    <x v="33"/>
    <x v="1"/>
    <x v="0"/>
    <x v="0"/>
    <n v="800"/>
    <n v="43"/>
    <n v="34400"/>
  </r>
  <r>
    <x v="34"/>
    <x v="2"/>
    <x v="3"/>
    <x v="3"/>
    <n v="18000"/>
    <n v="41"/>
    <n v="738000"/>
  </r>
  <r>
    <x v="35"/>
    <x v="0"/>
    <x v="0"/>
    <x v="1"/>
    <n v="13999"/>
    <n v="37"/>
    <n v="517963"/>
  </r>
  <r>
    <x v="36"/>
    <x v="1"/>
    <x v="4"/>
    <x v="3"/>
    <n v="22000"/>
    <n v="45"/>
    <n v="990000"/>
  </r>
  <r>
    <x v="37"/>
    <x v="4"/>
    <x v="2"/>
    <x v="0"/>
    <n v="89999"/>
    <n v="15"/>
    <n v="1349985"/>
  </r>
  <r>
    <x v="38"/>
    <x v="0"/>
    <x v="0"/>
    <x v="2"/>
    <n v="13999"/>
    <n v="22"/>
    <n v="307978"/>
  </r>
  <r>
    <x v="39"/>
    <x v="2"/>
    <x v="5"/>
    <x v="1"/>
    <n v="2900"/>
    <n v="20"/>
    <n v="58000"/>
  </r>
  <r>
    <x v="40"/>
    <x v="1"/>
    <x v="4"/>
    <x v="3"/>
    <n v="33000"/>
    <n v="16"/>
    <n v="528000"/>
  </r>
  <r>
    <x v="41"/>
    <x v="2"/>
    <x v="4"/>
    <x v="1"/>
    <n v="22000"/>
    <n v="17"/>
    <n v="374000"/>
  </r>
  <r>
    <x v="42"/>
    <x v="5"/>
    <x v="5"/>
    <x v="1"/>
    <n v="699"/>
    <n v="50"/>
    <n v="34950"/>
  </r>
  <r>
    <x v="43"/>
    <x v="4"/>
    <x v="4"/>
    <x v="2"/>
    <n v="499"/>
    <n v="4"/>
    <n v="1996"/>
  </r>
  <r>
    <x v="44"/>
    <x v="1"/>
    <x v="5"/>
    <x v="3"/>
    <n v="590"/>
    <n v="43"/>
    <n v="25370"/>
  </r>
  <r>
    <x v="45"/>
    <x v="5"/>
    <x v="5"/>
    <x v="1"/>
    <n v="590"/>
    <n v="42"/>
    <n v="24780"/>
  </r>
  <r>
    <x v="46"/>
    <x v="1"/>
    <x v="2"/>
    <x v="0"/>
    <n v="120"/>
    <n v="9"/>
    <n v="1080"/>
  </r>
  <r>
    <x v="47"/>
    <x v="4"/>
    <x v="4"/>
    <x v="4"/>
    <n v="52000"/>
    <n v="40"/>
    <n v="2080000"/>
  </r>
  <r>
    <x v="48"/>
    <x v="2"/>
    <x v="1"/>
    <x v="3"/>
    <n v="7999"/>
    <n v="14"/>
    <n v="111986"/>
  </r>
  <r>
    <x v="49"/>
    <x v="1"/>
    <x v="1"/>
    <x v="4"/>
    <n v="550"/>
    <n v="9"/>
    <n v="4950"/>
  </r>
  <r>
    <x v="50"/>
    <x v="2"/>
    <x v="2"/>
    <x v="3"/>
    <n v="79999"/>
    <n v="10"/>
    <n v="799990"/>
  </r>
  <r>
    <x v="51"/>
    <x v="5"/>
    <x v="5"/>
    <x v="3"/>
    <n v="1999"/>
    <n v="37"/>
    <n v="73963"/>
  </r>
  <r>
    <x v="52"/>
    <x v="4"/>
    <x v="4"/>
    <x v="2"/>
    <n v="89999"/>
    <n v="29"/>
    <n v="2609971"/>
  </r>
  <r>
    <x v="53"/>
    <x v="1"/>
    <x v="2"/>
    <x v="3"/>
    <n v="78500"/>
    <n v="44"/>
    <n v="3454000"/>
  </r>
  <r>
    <x v="54"/>
    <x v="4"/>
    <x v="4"/>
    <x v="1"/>
    <n v="3990"/>
    <n v="31"/>
    <n v="123690"/>
  </r>
  <r>
    <x v="55"/>
    <x v="2"/>
    <x v="4"/>
    <x v="3"/>
    <n v="52000"/>
    <n v="29"/>
    <n v="1508000"/>
  </r>
  <r>
    <x v="56"/>
    <x v="0"/>
    <x v="2"/>
    <x v="3"/>
    <n v="13999"/>
    <n v="34"/>
    <n v="475966"/>
  </r>
  <r>
    <x v="57"/>
    <x v="1"/>
    <x v="3"/>
    <x v="1"/>
    <n v="120"/>
    <n v="29"/>
    <n v="3480"/>
  </r>
  <r>
    <x v="58"/>
    <x v="4"/>
    <x v="1"/>
    <x v="1"/>
    <n v="23999"/>
    <n v="25"/>
    <n v="599975"/>
  </r>
  <r>
    <x v="59"/>
    <x v="4"/>
    <x v="2"/>
    <x v="3"/>
    <n v="45000"/>
    <n v="31"/>
    <n v="1395000"/>
  </r>
  <r>
    <x v="60"/>
    <x v="1"/>
    <x v="5"/>
    <x v="1"/>
    <n v="450"/>
    <n v="16"/>
    <n v="7200"/>
  </r>
  <r>
    <x v="61"/>
    <x v="3"/>
    <x v="3"/>
    <x v="3"/>
    <n v="65000"/>
    <n v="48"/>
    <n v="3120000"/>
  </r>
  <r>
    <x v="62"/>
    <x v="2"/>
    <x v="2"/>
    <x v="4"/>
    <n v="35600"/>
    <n v="22"/>
    <n v="783200"/>
  </r>
  <r>
    <x v="63"/>
    <x v="5"/>
    <x v="5"/>
    <x v="2"/>
    <n v="699"/>
    <n v="6"/>
    <n v="4194"/>
  </r>
  <r>
    <x v="64"/>
    <x v="1"/>
    <x v="5"/>
    <x v="1"/>
    <n v="990"/>
    <n v="12"/>
    <n v="11880"/>
  </r>
  <r>
    <x v="65"/>
    <x v="5"/>
    <x v="2"/>
    <x v="0"/>
    <n v="450"/>
    <n v="44"/>
    <n v="19800"/>
  </r>
  <r>
    <x v="66"/>
    <x v="5"/>
    <x v="5"/>
    <x v="2"/>
    <n v="1499"/>
    <n v="15"/>
    <n v="22485"/>
  </r>
  <r>
    <x v="67"/>
    <x v="0"/>
    <x v="0"/>
    <x v="4"/>
    <n v="499"/>
    <n v="26"/>
    <n v="12974"/>
  </r>
  <r>
    <x v="68"/>
    <x v="2"/>
    <x v="2"/>
    <x v="4"/>
    <n v="44000"/>
    <n v="16"/>
    <n v="704000"/>
  </r>
  <r>
    <x v="69"/>
    <x v="0"/>
    <x v="0"/>
    <x v="3"/>
    <n v="5599"/>
    <n v="35"/>
    <n v="195965"/>
  </r>
  <r>
    <x v="70"/>
    <x v="3"/>
    <x v="2"/>
    <x v="0"/>
    <n v="54100"/>
    <n v="36"/>
    <n v="1947600"/>
  </r>
  <r>
    <x v="71"/>
    <x v="0"/>
    <x v="0"/>
    <x v="2"/>
    <n v="2550"/>
    <n v="20"/>
    <n v="51000"/>
  </r>
  <r>
    <x v="72"/>
    <x v="1"/>
    <x v="2"/>
    <x v="2"/>
    <n v="1450"/>
    <n v="47"/>
    <n v="68150"/>
  </r>
  <r>
    <x v="73"/>
    <x v="5"/>
    <x v="5"/>
    <x v="3"/>
    <n v="2900"/>
    <n v="6"/>
    <n v="17400"/>
  </r>
  <r>
    <x v="74"/>
    <x v="3"/>
    <x v="2"/>
    <x v="4"/>
    <n v="65200"/>
    <n v="6"/>
    <n v="391200"/>
  </r>
  <r>
    <x v="75"/>
    <x v="1"/>
    <x v="4"/>
    <x v="4"/>
    <n v="52000"/>
    <n v="41"/>
    <n v="2132000"/>
  </r>
  <r>
    <x v="76"/>
    <x v="2"/>
    <x v="2"/>
    <x v="1"/>
    <n v="59000"/>
    <n v="29"/>
    <n v="1711000"/>
  </r>
  <r>
    <x v="77"/>
    <x v="4"/>
    <x v="1"/>
    <x v="4"/>
    <n v="7999"/>
    <n v="31"/>
    <n v="247969"/>
  </r>
  <r>
    <x v="78"/>
    <x v="1"/>
    <x v="3"/>
    <x v="1"/>
    <n v="45000"/>
    <n v="34"/>
    <n v="1530000"/>
  </r>
  <r>
    <x v="79"/>
    <x v="5"/>
    <x v="5"/>
    <x v="0"/>
    <n v="990"/>
    <n v="43"/>
    <n v="42570"/>
  </r>
  <r>
    <x v="80"/>
    <x v="4"/>
    <x v="4"/>
    <x v="0"/>
    <n v="11999"/>
    <n v="37"/>
    <n v="443963"/>
  </r>
  <r>
    <x v="81"/>
    <x v="4"/>
    <x v="1"/>
    <x v="0"/>
    <n v="960"/>
    <n v="7"/>
    <n v="6720"/>
  </r>
  <r>
    <x v="82"/>
    <x v="1"/>
    <x v="0"/>
    <x v="2"/>
    <n v="1450"/>
    <n v="19"/>
    <n v="27550"/>
  </r>
  <r>
    <x v="83"/>
    <x v="2"/>
    <x v="2"/>
    <x v="1"/>
    <n v="45000"/>
    <n v="47"/>
    <n v="2115000"/>
  </r>
  <r>
    <x v="84"/>
    <x v="1"/>
    <x v="5"/>
    <x v="1"/>
    <n v="1499"/>
    <n v="37"/>
    <n v="55463"/>
  </r>
  <r>
    <x v="85"/>
    <x v="4"/>
    <x v="4"/>
    <x v="2"/>
    <n v="79999"/>
    <n v="4"/>
    <n v="319996"/>
  </r>
  <r>
    <x v="86"/>
    <x v="3"/>
    <x v="2"/>
    <x v="4"/>
    <n v="999"/>
    <n v="45"/>
    <n v="44955"/>
  </r>
  <r>
    <x v="87"/>
    <x v="1"/>
    <x v="4"/>
    <x v="0"/>
    <n v="52000"/>
    <n v="15"/>
    <n v="780000"/>
  </r>
  <r>
    <x v="88"/>
    <x v="2"/>
    <x v="2"/>
    <x v="3"/>
    <n v="52000"/>
    <n v="39"/>
    <n v="2028000"/>
  </r>
  <r>
    <x v="89"/>
    <x v="4"/>
    <x v="1"/>
    <x v="2"/>
    <n v="960"/>
    <n v="33"/>
    <n v="31680"/>
  </r>
  <r>
    <x v="90"/>
    <x v="4"/>
    <x v="2"/>
    <x v="3"/>
    <n v="19500"/>
    <n v="45"/>
    <n v="877500"/>
  </r>
  <r>
    <x v="91"/>
    <x v="4"/>
    <x v="4"/>
    <x v="3"/>
    <n v="2999"/>
    <n v="33"/>
    <n v="98967"/>
  </r>
  <r>
    <x v="92"/>
    <x v="1"/>
    <x v="1"/>
    <x v="4"/>
    <n v="1250"/>
    <n v="14"/>
    <n v="17500"/>
  </r>
  <r>
    <x v="93"/>
    <x v="1"/>
    <x v="3"/>
    <x v="0"/>
    <n v="120"/>
    <n v="41"/>
    <n v="4920"/>
  </r>
  <r>
    <x v="94"/>
    <x v="2"/>
    <x v="0"/>
    <x v="3"/>
    <n v="1450"/>
    <n v="22"/>
    <n v="31900"/>
  </r>
  <r>
    <x v="95"/>
    <x v="4"/>
    <x v="4"/>
    <x v="0"/>
    <n v="89999"/>
    <n v="15"/>
    <n v="1349985"/>
  </r>
  <r>
    <x v="96"/>
    <x v="5"/>
    <x v="2"/>
    <x v="2"/>
    <n v="1999"/>
    <n v="48"/>
    <n v="95952"/>
  </r>
  <r>
    <x v="97"/>
    <x v="5"/>
    <x v="5"/>
    <x v="3"/>
    <n v="2900"/>
    <n v="49"/>
    <n v="142100"/>
  </r>
  <r>
    <x v="98"/>
    <x v="4"/>
    <x v="4"/>
    <x v="4"/>
    <n v="700"/>
    <n v="50"/>
    <n v="35000"/>
  </r>
  <r>
    <x v="99"/>
    <x v="3"/>
    <x v="3"/>
    <x v="3"/>
    <n v="200"/>
    <n v="41"/>
    <n v="8200"/>
  </r>
  <r>
    <x v="100"/>
    <x v="2"/>
    <x v="2"/>
    <x v="1"/>
    <n v="49000"/>
    <n v="29"/>
    <n v="1421000"/>
  </r>
  <r>
    <x v="101"/>
    <x v="0"/>
    <x v="0"/>
    <x v="4"/>
    <n v="5599"/>
    <n v="36"/>
    <n v="201564"/>
  </r>
  <r>
    <x v="102"/>
    <x v="3"/>
    <x v="3"/>
    <x v="3"/>
    <n v="13500"/>
    <n v="39"/>
    <n v="526500"/>
  </r>
  <r>
    <x v="103"/>
    <x v="2"/>
    <x v="4"/>
    <x v="3"/>
    <n v="79999"/>
    <n v="9"/>
    <n v="719991"/>
  </r>
  <r>
    <x v="104"/>
    <x v="4"/>
    <x v="2"/>
    <x v="2"/>
    <n v="75200"/>
    <n v="38"/>
    <n v="2857600"/>
  </r>
  <r>
    <x v="105"/>
    <x v="4"/>
    <x v="1"/>
    <x v="0"/>
    <n v="550"/>
    <n v="25"/>
    <n v="13750"/>
  </r>
  <r>
    <x v="106"/>
    <x v="0"/>
    <x v="0"/>
    <x v="0"/>
    <n v="499"/>
    <n v="50"/>
    <n v="24950"/>
  </r>
  <r>
    <x v="107"/>
    <x v="0"/>
    <x v="0"/>
    <x v="1"/>
    <n v="5599"/>
    <n v="33"/>
    <n v="184767"/>
  </r>
  <r>
    <x v="108"/>
    <x v="2"/>
    <x v="1"/>
    <x v="2"/>
    <n v="1450"/>
    <n v="44"/>
    <n v="63800"/>
  </r>
  <r>
    <x v="109"/>
    <x v="3"/>
    <x v="3"/>
    <x v="0"/>
    <n v="999"/>
    <n v="31"/>
    <n v="30969"/>
  </r>
  <r>
    <x v="110"/>
    <x v="3"/>
    <x v="3"/>
    <x v="3"/>
    <n v="100"/>
    <n v="11"/>
    <n v="1100"/>
  </r>
  <r>
    <x v="111"/>
    <x v="2"/>
    <x v="0"/>
    <x v="3"/>
    <n v="2550"/>
    <n v="48"/>
    <n v="122400"/>
  </r>
  <r>
    <x v="112"/>
    <x v="4"/>
    <x v="4"/>
    <x v="3"/>
    <n v="33000"/>
    <n v="26"/>
    <n v="858000"/>
  </r>
  <r>
    <x v="113"/>
    <x v="1"/>
    <x v="0"/>
    <x v="2"/>
    <n v="800"/>
    <n v="39"/>
    <n v="31200"/>
  </r>
  <r>
    <x v="114"/>
    <x v="5"/>
    <x v="5"/>
    <x v="2"/>
    <n v="990"/>
    <n v="9"/>
    <n v="8910"/>
  </r>
  <r>
    <x v="115"/>
    <x v="0"/>
    <x v="0"/>
    <x v="0"/>
    <n v="5599"/>
    <n v="41"/>
    <n v="229559"/>
  </r>
  <r>
    <x v="116"/>
    <x v="4"/>
    <x v="4"/>
    <x v="0"/>
    <n v="499"/>
    <n v="39"/>
    <n v="19461"/>
  </r>
  <r>
    <x v="117"/>
    <x v="5"/>
    <x v="5"/>
    <x v="0"/>
    <n v="1999"/>
    <n v="4"/>
    <n v="7996"/>
  </r>
  <r>
    <x v="118"/>
    <x v="2"/>
    <x v="3"/>
    <x v="0"/>
    <n v="200"/>
    <n v="8"/>
    <n v="1600"/>
  </r>
  <r>
    <x v="119"/>
    <x v="5"/>
    <x v="5"/>
    <x v="2"/>
    <n v="1499"/>
    <n v="27"/>
    <n v="40473"/>
  </r>
  <r>
    <x v="120"/>
    <x v="3"/>
    <x v="3"/>
    <x v="4"/>
    <n v="120"/>
    <n v="10"/>
    <n v="1200"/>
  </r>
  <r>
    <x v="121"/>
    <x v="1"/>
    <x v="4"/>
    <x v="4"/>
    <n v="11999"/>
    <n v="17"/>
    <n v="203983"/>
  </r>
  <r>
    <x v="122"/>
    <x v="1"/>
    <x v="4"/>
    <x v="1"/>
    <n v="999"/>
    <n v="27"/>
    <n v="26973"/>
  </r>
  <r>
    <x v="123"/>
    <x v="2"/>
    <x v="4"/>
    <x v="2"/>
    <n v="2999"/>
    <n v="43"/>
    <n v="128957"/>
  </r>
  <r>
    <x v="124"/>
    <x v="3"/>
    <x v="2"/>
    <x v="1"/>
    <n v="47800"/>
    <n v="9"/>
    <n v="430200"/>
  </r>
  <r>
    <x v="125"/>
    <x v="4"/>
    <x v="2"/>
    <x v="0"/>
    <n v="22000"/>
    <n v="42"/>
    <n v="924000"/>
  </r>
  <r>
    <x v="126"/>
    <x v="4"/>
    <x v="1"/>
    <x v="1"/>
    <n v="1250"/>
    <n v="6"/>
    <n v="7500"/>
  </r>
  <r>
    <x v="127"/>
    <x v="3"/>
    <x v="3"/>
    <x v="2"/>
    <n v="999"/>
    <n v="28"/>
    <n v="27972"/>
  </r>
  <r>
    <x v="128"/>
    <x v="4"/>
    <x v="1"/>
    <x v="4"/>
    <n v="1450"/>
    <n v="13"/>
    <n v="18850"/>
  </r>
  <r>
    <x v="129"/>
    <x v="4"/>
    <x v="1"/>
    <x v="4"/>
    <n v="23999"/>
    <n v="8"/>
    <n v="191992"/>
  </r>
  <r>
    <x v="130"/>
    <x v="1"/>
    <x v="2"/>
    <x v="4"/>
    <n v="92000"/>
    <n v="7"/>
    <n v="644000"/>
  </r>
  <r>
    <x v="131"/>
    <x v="5"/>
    <x v="5"/>
    <x v="2"/>
    <n v="699"/>
    <n v="45"/>
    <n v="31455"/>
  </r>
  <r>
    <x v="132"/>
    <x v="0"/>
    <x v="0"/>
    <x v="0"/>
    <n v="2550"/>
    <n v="22"/>
    <n v="56100"/>
  </r>
  <r>
    <x v="133"/>
    <x v="2"/>
    <x v="4"/>
    <x v="4"/>
    <n v="22000"/>
    <n v="4"/>
    <n v="88000"/>
  </r>
  <r>
    <x v="134"/>
    <x v="4"/>
    <x v="4"/>
    <x v="0"/>
    <n v="22000"/>
    <n v="10"/>
    <n v="220000"/>
  </r>
  <r>
    <x v="135"/>
    <x v="1"/>
    <x v="5"/>
    <x v="2"/>
    <n v="1499"/>
    <n v="16"/>
    <n v="23984"/>
  </r>
  <r>
    <x v="136"/>
    <x v="3"/>
    <x v="3"/>
    <x v="4"/>
    <n v="120"/>
    <n v="22"/>
    <n v="2640"/>
  </r>
  <r>
    <x v="137"/>
    <x v="0"/>
    <x v="0"/>
    <x v="1"/>
    <n v="1450"/>
    <n v="20"/>
    <n v="29000"/>
  </r>
  <r>
    <x v="138"/>
    <x v="5"/>
    <x v="5"/>
    <x v="2"/>
    <n v="1999"/>
    <n v="23"/>
    <n v="45977"/>
  </r>
  <r>
    <x v="139"/>
    <x v="1"/>
    <x v="0"/>
    <x v="5"/>
    <n v="800"/>
    <n v="43"/>
    <n v="34400"/>
  </r>
  <r>
    <x v="140"/>
    <x v="3"/>
    <x v="3"/>
    <x v="4"/>
    <n v="100"/>
    <n v="41"/>
    <n v="4100"/>
  </r>
  <r>
    <x v="141"/>
    <x v="0"/>
    <x v="2"/>
    <x v="4"/>
    <n v="13999"/>
    <n v="37"/>
    <n v="517963"/>
  </r>
  <r>
    <x v="142"/>
    <x v="2"/>
    <x v="4"/>
    <x v="3"/>
    <n v="22000"/>
    <n v="45"/>
    <n v="990000"/>
  </r>
  <r>
    <x v="143"/>
    <x v="4"/>
    <x v="4"/>
    <x v="5"/>
    <n v="89999"/>
    <n v="15"/>
    <n v="1349985"/>
  </r>
  <r>
    <x v="144"/>
    <x v="0"/>
    <x v="0"/>
    <x v="3"/>
    <n v="13999"/>
    <n v="22"/>
    <n v="307978"/>
  </r>
  <r>
    <x v="145"/>
    <x v="1"/>
    <x v="5"/>
    <x v="2"/>
    <n v="2900"/>
    <n v="20"/>
    <n v="58000"/>
  </r>
  <r>
    <x v="146"/>
    <x v="4"/>
    <x v="4"/>
    <x v="3"/>
    <n v="33000"/>
    <n v="16"/>
    <n v="528000"/>
  </r>
  <r>
    <x v="147"/>
    <x v="1"/>
    <x v="4"/>
    <x v="1"/>
    <n v="22000"/>
    <n v="17"/>
    <n v="374000"/>
  </r>
  <r>
    <x v="148"/>
    <x v="1"/>
    <x v="5"/>
    <x v="1"/>
    <n v="45000"/>
    <n v="50"/>
    <n v="2250000"/>
  </r>
  <r>
    <x v="149"/>
    <x v="4"/>
    <x v="2"/>
    <x v="2"/>
    <n v="499"/>
    <n v="4"/>
    <n v="1996"/>
  </r>
  <r>
    <x v="150"/>
    <x v="5"/>
    <x v="5"/>
    <x v="3"/>
    <n v="590"/>
    <n v="43"/>
    <n v="25370"/>
  </r>
  <r>
    <x v="151"/>
    <x v="2"/>
    <x v="5"/>
    <x v="1"/>
    <n v="590"/>
    <n v="42"/>
    <n v="24780"/>
  </r>
  <r>
    <x v="152"/>
    <x v="3"/>
    <x v="3"/>
    <x v="0"/>
    <n v="12000"/>
    <n v="9"/>
    <n v="108000"/>
  </r>
  <r>
    <x v="153"/>
    <x v="4"/>
    <x v="4"/>
    <x v="5"/>
    <n v="52000"/>
    <n v="40"/>
    <n v="2080000"/>
  </r>
  <r>
    <x v="154"/>
    <x v="4"/>
    <x v="1"/>
    <x v="3"/>
    <n v="7999"/>
    <n v="14"/>
    <n v="111986"/>
  </r>
  <r>
    <x v="155"/>
    <x v="1"/>
    <x v="1"/>
    <x v="4"/>
    <n v="5000"/>
    <n v="9"/>
    <n v="45000"/>
  </r>
  <r>
    <x v="156"/>
    <x v="4"/>
    <x v="4"/>
    <x v="3"/>
    <n v="79999"/>
    <n v="10"/>
    <n v="799990"/>
  </r>
  <r>
    <x v="157"/>
    <x v="5"/>
    <x v="2"/>
    <x v="2"/>
    <n v="1999"/>
    <n v="37"/>
    <n v="73963"/>
  </r>
  <r>
    <x v="158"/>
    <x v="4"/>
    <x v="4"/>
    <x v="3"/>
    <n v="89999"/>
    <n v="29"/>
    <n v="2609971"/>
  </r>
  <r>
    <x v="159"/>
    <x v="2"/>
    <x v="4"/>
    <x v="0"/>
    <n v="799"/>
    <n v="44"/>
    <n v="35156"/>
  </r>
  <r>
    <x v="160"/>
    <x v="4"/>
    <x v="4"/>
    <x v="1"/>
    <n v="3990"/>
    <n v="31"/>
    <n v="123690"/>
  </r>
  <r>
    <x v="161"/>
    <x v="1"/>
    <x v="4"/>
    <x v="2"/>
    <n v="52000"/>
    <n v="29"/>
    <n v="1508000"/>
  </r>
  <r>
    <x v="162"/>
    <x v="1"/>
    <x v="0"/>
    <x v="3"/>
    <n v="13999"/>
    <n v="34"/>
    <n v="475966"/>
  </r>
  <r>
    <x v="163"/>
    <x v="3"/>
    <x v="3"/>
    <x v="2"/>
    <n v="14500"/>
    <n v="29"/>
    <n v="420500"/>
  </r>
  <r>
    <x v="164"/>
    <x v="4"/>
    <x v="1"/>
    <x v="5"/>
    <n v="23999"/>
    <n v="25"/>
    <n v="599975"/>
  </r>
  <r>
    <x v="165"/>
    <x v="4"/>
    <x v="1"/>
    <x v="3"/>
    <n v="1250"/>
    <n v="31"/>
    <n v="38750"/>
  </r>
  <r>
    <x v="166"/>
    <x v="5"/>
    <x v="2"/>
    <x v="3"/>
    <n v="35600"/>
    <n v="16"/>
    <n v="569600"/>
  </r>
  <r>
    <x v="167"/>
    <x v="3"/>
    <x v="3"/>
    <x v="3"/>
    <n v="65000"/>
    <n v="48"/>
    <n v="3120000"/>
  </r>
  <r>
    <x v="168"/>
    <x v="2"/>
    <x v="3"/>
    <x v="5"/>
    <n v="12000"/>
    <n v="22"/>
    <n v="264000"/>
  </r>
  <r>
    <x v="169"/>
    <x v="5"/>
    <x v="5"/>
    <x v="3"/>
    <n v="699"/>
    <n v="6"/>
    <n v="4194"/>
  </r>
  <r>
    <x v="170"/>
    <x v="5"/>
    <x v="2"/>
    <x v="2"/>
    <n v="990"/>
    <n v="12"/>
    <n v="11880"/>
  </r>
  <r>
    <x v="171"/>
    <x v="5"/>
    <x v="5"/>
    <x v="0"/>
    <n v="450"/>
    <n v="44"/>
    <n v="19800"/>
  </r>
  <r>
    <x v="172"/>
    <x v="5"/>
    <x v="2"/>
    <x v="0"/>
    <n v="1499"/>
    <n v="15"/>
    <n v="22485"/>
  </r>
  <r>
    <x v="173"/>
    <x v="0"/>
    <x v="0"/>
    <x v="4"/>
    <n v="499"/>
    <n v="26"/>
    <n v="12974"/>
  </r>
  <r>
    <x v="174"/>
    <x v="4"/>
    <x v="1"/>
    <x v="4"/>
    <n v="960"/>
    <n v="16"/>
    <n v="15360"/>
  </r>
  <r>
    <x v="175"/>
    <x v="2"/>
    <x v="2"/>
    <x v="3"/>
    <n v="5599"/>
    <n v="35"/>
    <n v="195965"/>
  </r>
  <r>
    <x v="176"/>
    <x v="3"/>
    <x v="3"/>
    <x v="0"/>
    <n v="89"/>
    <n v="36"/>
    <n v="3204"/>
  </r>
  <r>
    <x v="177"/>
    <x v="0"/>
    <x v="0"/>
    <x v="2"/>
    <n v="2550"/>
    <n v="20"/>
    <n v="51000"/>
  </r>
  <r>
    <x v="178"/>
    <x v="0"/>
    <x v="0"/>
    <x v="0"/>
    <n v="1450"/>
    <n v="47"/>
    <n v="68150"/>
  </r>
  <r>
    <x v="179"/>
    <x v="5"/>
    <x v="5"/>
    <x v="3"/>
    <n v="2900"/>
    <n v="6"/>
    <n v="17400"/>
  </r>
  <r>
    <x v="180"/>
    <x v="3"/>
    <x v="3"/>
    <x v="4"/>
    <n v="120"/>
    <n v="6"/>
    <n v="720"/>
  </r>
  <r>
    <x v="181"/>
    <x v="4"/>
    <x v="4"/>
    <x v="4"/>
    <n v="52000"/>
    <n v="41"/>
    <n v="2132000"/>
  </r>
  <r>
    <x v="182"/>
    <x v="5"/>
    <x v="5"/>
    <x v="2"/>
    <n v="590"/>
    <n v="29"/>
    <n v="17110"/>
  </r>
  <r>
    <x v="183"/>
    <x v="4"/>
    <x v="2"/>
    <x v="5"/>
    <n v="7999"/>
    <n v="31"/>
    <n v="247969"/>
  </r>
  <r>
    <x v="184"/>
    <x v="1"/>
    <x v="3"/>
    <x v="2"/>
    <n v="999"/>
    <n v="34"/>
    <n v="33966"/>
  </r>
  <r>
    <x v="185"/>
    <x v="2"/>
    <x v="5"/>
    <x v="0"/>
    <n v="990"/>
    <n v="43"/>
    <n v="42570"/>
  </r>
  <r>
    <x v="186"/>
    <x v="4"/>
    <x v="4"/>
    <x v="0"/>
    <n v="11999"/>
    <n v="37"/>
    <n v="443963"/>
  </r>
  <r>
    <x v="187"/>
    <x v="4"/>
    <x v="1"/>
    <x v="0"/>
    <n v="960"/>
    <n v="7"/>
    <n v="6720"/>
  </r>
  <r>
    <x v="188"/>
    <x v="0"/>
    <x v="0"/>
    <x v="2"/>
    <n v="1450"/>
    <n v="19"/>
    <n v="27550"/>
  </r>
  <r>
    <x v="189"/>
    <x v="5"/>
    <x v="5"/>
    <x v="1"/>
    <n v="450"/>
    <n v="47"/>
    <n v="21150"/>
  </r>
  <r>
    <x v="190"/>
    <x v="1"/>
    <x v="5"/>
    <x v="2"/>
    <n v="1499"/>
    <n v="37"/>
    <n v="55463"/>
  </r>
  <r>
    <x v="191"/>
    <x v="2"/>
    <x v="4"/>
    <x v="1"/>
    <n v="79999"/>
    <n v="4"/>
    <n v="319996"/>
  </r>
  <r>
    <x v="192"/>
    <x v="2"/>
    <x v="3"/>
    <x v="4"/>
    <n v="999"/>
    <n v="45"/>
    <n v="44955"/>
  </r>
  <r>
    <x v="193"/>
    <x v="4"/>
    <x v="4"/>
    <x v="0"/>
    <n v="52000"/>
    <n v="15"/>
    <n v="780000"/>
  </r>
  <r>
    <x v="194"/>
    <x v="4"/>
    <x v="4"/>
    <x v="3"/>
    <n v="52000"/>
    <n v="39"/>
    <n v="2028000"/>
  </r>
  <r>
    <x v="195"/>
    <x v="4"/>
    <x v="1"/>
    <x v="2"/>
    <n v="960"/>
    <n v="33"/>
    <n v="31680"/>
  </r>
  <r>
    <x v="196"/>
    <x v="4"/>
    <x v="1"/>
    <x v="2"/>
    <n v="1450"/>
    <n v="34"/>
    <n v="49300"/>
  </r>
  <r>
    <x v="197"/>
    <x v="4"/>
    <x v="2"/>
    <x v="3"/>
    <n v="2999"/>
    <n v="33"/>
    <n v="98967"/>
  </r>
  <r>
    <x v="198"/>
    <x v="2"/>
    <x v="1"/>
    <x v="4"/>
    <n v="1250"/>
    <n v="14"/>
    <n v="17500"/>
  </r>
  <r>
    <x v="199"/>
    <x v="3"/>
    <x v="3"/>
    <x v="0"/>
    <n v="120"/>
    <n v="41"/>
    <n v="4920"/>
  </r>
  <r>
    <x v="200"/>
    <x v="1"/>
    <x v="0"/>
    <x v="3"/>
    <n v="1450"/>
    <n v="22"/>
    <n v="31900"/>
  </r>
  <r>
    <x v="201"/>
    <x v="1"/>
    <x v="4"/>
    <x v="0"/>
    <n v="89999"/>
    <n v="15"/>
    <n v="1349985"/>
  </r>
  <r>
    <x v="202"/>
    <x v="5"/>
    <x v="5"/>
    <x v="2"/>
    <n v="1999"/>
    <n v="48"/>
    <n v="95952"/>
  </r>
  <r>
    <x v="203"/>
    <x v="5"/>
    <x v="2"/>
    <x v="3"/>
    <n v="2900"/>
    <n v="49"/>
    <n v="142100"/>
  </r>
  <r>
    <x v="204"/>
    <x v="4"/>
    <x v="4"/>
    <x v="4"/>
    <n v="700"/>
    <n v="50"/>
    <n v="35000"/>
  </r>
  <r>
    <x v="205"/>
    <x v="3"/>
    <x v="3"/>
    <x v="3"/>
    <n v="200"/>
    <n v="41"/>
    <n v="8200"/>
  </r>
  <r>
    <x v="206"/>
    <x v="0"/>
    <x v="0"/>
    <x v="2"/>
    <n v="499"/>
    <n v="29"/>
    <n v="14471"/>
  </r>
  <r>
    <x v="207"/>
    <x v="2"/>
    <x v="0"/>
    <x v="5"/>
    <n v="5599"/>
    <n v="36"/>
    <n v="201564"/>
  </r>
  <r>
    <x v="208"/>
    <x v="1"/>
    <x v="3"/>
    <x v="3"/>
    <n v="100"/>
    <n v="39"/>
    <n v="3900"/>
  </r>
  <r>
    <x v="209"/>
    <x v="4"/>
    <x v="2"/>
    <x v="3"/>
    <n v="79999"/>
    <n v="9"/>
    <n v="719991"/>
  </r>
  <r>
    <x v="210"/>
    <x v="2"/>
    <x v="4"/>
    <x v="2"/>
    <n v="700"/>
    <n v="38"/>
    <n v="26600"/>
  </r>
  <r>
    <x v="211"/>
    <x v="4"/>
    <x v="1"/>
    <x v="0"/>
    <n v="550"/>
    <n v="25"/>
    <n v="13750"/>
  </r>
  <r>
    <x v="212"/>
    <x v="5"/>
    <x v="5"/>
    <x v="3"/>
    <n v="1499"/>
    <n v="16"/>
    <n v="23984"/>
  </r>
  <r>
    <x v="213"/>
    <x v="3"/>
    <x v="3"/>
    <x v="4"/>
    <n v="120"/>
    <n v="22"/>
    <n v="2640"/>
  </r>
  <r>
    <x v="214"/>
    <x v="0"/>
    <x v="0"/>
    <x v="1"/>
    <n v="1450"/>
    <n v="20"/>
    <n v="29000"/>
  </r>
  <r>
    <x v="215"/>
    <x v="5"/>
    <x v="2"/>
    <x v="2"/>
    <n v="1999"/>
    <n v="23"/>
    <n v="45977"/>
  </r>
  <r>
    <x v="216"/>
    <x v="0"/>
    <x v="0"/>
    <x v="3"/>
    <n v="800"/>
    <n v="43"/>
    <n v="34400"/>
  </r>
  <r>
    <x v="217"/>
    <x v="2"/>
    <x v="3"/>
    <x v="4"/>
    <n v="100"/>
    <n v="41"/>
    <n v="4100"/>
  </r>
  <r>
    <x v="218"/>
    <x v="0"/>
    <x v="0"/>
    <x v="2"/>
    <n v="13999"/>
    <n v="37"/>
    <n v="517963"/>
  </r>
  <r>
    <x v="219"/>
    <x v="4"/>
    <x v="4"/>
    <x v="3"/>
    <n v="22000"/>
    <n v="45"/>
    <n v="990000"/>
  </r>
  <r>
    <x v="220"/>
    <x v="4"/>
    <x v="4"/>
    <x v="5"/>
    <n v="89999"/>
    <n v="15"/>
    <n v="1349985"/>
  </r>
  <r>
    <x v="221"/>
    <x v="1"/>
    <x v="2"/>
    <x v="3"/>
    <n v="13999"/>
    <n v="22"/>
    <n v="307978"/>
  </r>
  <r>
    <x v="222"/>
    <x v="2"/>
    <x v="5"/>
    <x v="2"/>
    <n v="2900"/>
    <n v="20"/>
    <n v="58000"/>
  </r>
  <r>
    <x v="223"/>
    <x v="1"/>
    <x v="4"/>
    <x v="3"/>
    <n v="33000"/>
    <n v="16"/>
    <n v="528000"/>
  </r>
  <r>
    <x v="224"/>
    <x v="4"/>
    <x v="2"/>
    <x v="1"/>
    <n v="22000"/>
    <n v="17"/>
    <n v="374000"/>
  </r>
  <r>
    <x v="225"/>
    <x v="5"/>
    <x v="5"/>
    <x v="1"/>
    <n v="699"/>
    <n v="50"/>
    <n v="34950"/>
  </r>
  <r>
    <x v="226"/>
    <x v="2"/>
    <x v="4"/>
    <x v="2"/>
    <n v="499"/>
    <n v="4"/>
    <n v="1996"/>
  </r>
  <r>
    <x v="227"/>
    <x v="5"/>
    <x v="5"/>
    <x v="3"/>
    <n v="590"/>
    <n v="43"/>
    <n v="25370"/>
  </r>
  <r>
    <x v="228"/>
    <x v="5"/>
    <x v="5"/>
    <x v="1"/>
    <n v="590"/>
    <n v="42"/>
    <n v="24780"/>
  </r>
  <r>
    <x v="229"/>
    <x v="3"/>
    <x v="3"/>
    <x v="0"/>
    <n v="120"/>
    <n v="9"/>
    <n v="1080"/>
  </r>
  <r>
    <x v="230"/>
    <x v="2"/>
    <x v="4"/>
    <x v="5"/>
    <n v="52000"/>
    <n v="40"/>
    <n v="2080000"/>
  </r>
  <r>
    <x v="231"/>
    <x v="4"/>
    <x v="2"/>
    <x v="3"/>
    <n v="7999"/>
    <n v="14"/>
    <n v="111986"/>
  </r>
  <r>
    <x v="232"/>
    <x v="2"/>
    <x v="1"/>
    <x v="4"/>
    <n v="550"/>
    <n v="9"/>
    <n v="4950"/>
  </r>
  <r>
    <x v="233"/>
    <x v="4"/>
    <x v="4"/>
    <x v="3"/>
    <n v="79999"/>
    <n v="10"/>
    <n v="799990"/>
  </r>
  <r>
    <x v="234"/>
    <x v="1"/>
    <x v="2"/>
    <x v="1"/>
    <n v="1999"/>
    <n v="37"/>
    <n v="73963"/>
  </r>
  <r>
    <x v="235"/>
    <x v="2"/>
    <x v="4"/>
    <x v="3"/>
    <n v="89999"/>
    <n v="29"/>
    <n v="2609971"/>
  </r>
  <r>
    <x v="236"/>
    <x v="4"/>
    <x v="4"/>
    <x v="0"/>
    <n v="799"/>
    <n v="44"/>
    <n v="35156"/>
  </r>
  <r>
    <x v="237"/>
    <x v="4"/>
    <x v="4"/>
    <x v="5"/>
    <n v="3990"/>
    <n v="31"/>
    <n v="123690"/>
  </r>
  <r>
    <x v="238"/>
    <x v="2"/>
    <x v="2"/>
    <x v="2"/>
    <n v="52000"/>
    <n v="29"/>
    <n v="1508000"/>
  </r>
  <r>
    <x v="239"/>
    <x v="0"/>
    <x v="0"/>
    <x v="3"/>
    <n v="13999"/>
    <n v="34"/>
    <n v="475966"/>
  </r>
  <r>
    <x v="240"/>
    <x v="2"/>
    <x v="3"/>
    <x v="2"/>
    <n v="120"/>
    <n v="29"/>
    <n v="3480"/>
  </r>
  <r>
    <x v="241"/>
    <x v="4"/>
    <x v="1"/>
    <x v="0"/>
    <n v="23999"/>
    <n v="25"/>
    <n v="599975"/>
  </r>
  <r>
    <x v="242"/>
    <x v="2"/>
    <x v="1"/>
    <x v="3"/>
    <n v="1250"/>
    <n v="31"/>
    <n v="38750"/>
  </r>
  <r>
    <x v="243"/>
    <x v="5"/>
    <x v="2"/>
    <x v="3"/>
    <n v="45000"/>
    <n v="16"/>
    <n v="720000"/>
  </r>
  <r>
    <x v="244"/>
    <x v="1"/>
    <x v="3"/>
    <x v="2"/>
    <n v="120"/>
    <n v="48"/>
    <n v="5760"/>
  </r>
  <r>
    <x v="245"/>
    <x v="2"/>
    <x v="2"/>
    <x v="4"/>
    <n v="25600"/>
    <n v="22"/>
    <n v="563200"/>
  </r>
  <r>
    <x v="246"/>
    <x v="5"/>
    <x v="5"/>
    <x v="3"/>
    <n v="699"/>
    <n v="6"/>
    <n v="4194"/>
  </r>
  <r>
    <x v="247"/>
    <x v="5"/>
    <x v="2"/>
    <x v="2"/>
    <n v="99620"/>
    <n v="12"/>
    <n v="1195440"/>
  </r>
  <r>
    <x v="248"/>
    <x v="2"/>
    <x v="5"/>
    <x v="5"/>
    <n v="450"/>
    <n v="44"/>
    <n v="19800"/>
  </r>
  <r>
    <x v="249"/>
    <x v="5"/>
    <x v="5"/>
    <x v="2"/>
    <n v="1499"/>
    <n v="15"/>
    <n v="22485"/>
  </r>
  <r>
    <x v="250"/>
    <x v="0"/>
    <x v="2"/>
    <x v="4"/>
    <n v="49500"/>
    <n v="26"/>
    <n v="1287000"/>
  </r>
  <r>
    <x v="251"/>
    <x v="1"/>
    <x v="1"/>
    <x v="4"/>
    <n v="960"/>
    <n v="16"/>
    <n v="15360"/>
  </r>
  <r>
    <x v="252"/>
    <x v="2"/>
    <x v="0"/>
    <x v="3"/>
    <n v="5599"/>
    <n v="35"/>
    <n v="195965"/>
  </r>
  <r>
    <x v="253"/>
    <x v="3"/>
    <x v="3"/>
    <x v="0"/>
    <n v="89"/>
    <n v="36"/>
    <n v="3204"/>
  </r>
  <r>
    <x v="254"/>
    <x v="0"/>
    <x v="0"/>
    <x v="5"/>
    <n v="2550"/>
    <n v="20"/>
    <n v="51000"/>
  </r>
  <r>
    <x v="255"/>
    <x v="2"/>
    <x v="2"/>
    <x v="0"/>
    <n v="14500"/>
    <n v="47"/>
    <n v="681500"/>
  </r>
  <r>
    <x v="256"/>
    <x v="5"/>
    <x v="5"/>
    <x v="3"/>
    <n v="2900"/>
    <n v="6"/>
    <n v="17400"/>
  </r>
  <r>
    <x v="257"/>
    <x v="3"/>
    <x v="3"/>
    <x v="4"/>
    <n v="120"/>
    <n v="6"/>
    <n v="720"/>
  </r>
  <r>
    <x v="258"/>
    <x v="4"/>
    <x v="2"/>
    <x v="2"/>
    <n v="52000"/>
    <n v="41"/>
    <n v="2132000"/>
  </r>
  <r>
    <x v="259"/>
    <x v="1"/>
    <x v="5"/>
    <x v="1"/>
    <n v="590"/>
    <n v="29"/>
    <n v="17110"/>
  </r>
  <r>
    <x v="260"/>
    <x v="4"/>
    <x v="1"/>
    <x v="4"/>
    <n v="7999"/>
    <n v="31"/>
    <n v="247969"/>
  </r>
  <r>
    <x v="261"/>
    <x v="2"/>
    <x v="3"/>
    <x v="1"/>
    <n v="999"/>
    <n v="34"/>
    <n v="33966"/>
  </r>
  <r>
    <x v="262"/>
    <x v="5"/>
    <x v="2"/>
    <x v="2"/>
    <n v="990"/>
    <n v="43"/>
    <n v="42570"/>
  </r>
  <r>
    <x v="263"/>
    <x v="2"/>
    <x v="4"/>
    <x v="0"/>
    <n v="11999"/>
    <n v="37"/>
    <n v="443963"/>
  </r>
  <r>
    <x v="264"/>
    <x v="1"/>
    <x v="1"/>
    <x v="0"/>
    <n v="960"/>
    <n v="7"/>
    <n v="6720"/>
  </r>
  <r>
    <x v="265"/>
    <x v="0"/>
    <x v="0"/>
    <x v="2"/>
    <n v="1450"/>
    <n v="19"/>
    <n v="27550"/>
  </r>
  <r>
    <x v="266"/>
    <x v="5"/>
    <x v="5"/>
    <x v="1"/>
    <n v="450"/>
    <n v="47"/>
    <n v="21150"/>
  </r>
  <r>
    <x v="267"/>
    <x v="2"/>
    <x v="2"/>
    <x v="1"/>
    <n v="1499"/>
    <n v="37"/>
    <n v="55463"/>
  </r>
  <r>
    <x v="268"/>
    <x v="4"/>
    <x v="4"/>
    <x v="1"/>
    <n v="79999"/>
    <n v="4"/>
    <n v="319996"/>
  </r>
  <r>
    <x v="269"/>
    <x v="2"/>
    <x v="3"/>
    <x v="4"/>
    <n v="999"/>
    <n v="45"/>
    <n v="44955"/>
  </r>
  <r>
    <x v="270"/>
    <x v="4"/>
    <x v="4"/>
    <x v="0"/>
    <n v="52000"/>
    <n v="15"/>
    <n v="780000"/>
  </r>
  <r>
    <x v="271"/>
    <x v="1"/>
    <x v="4"/>
    <x v="3"/>
    <n v="52000"/>
    <n v="39"/>
    <n v="2028000"/>
  </r>
  <r>
    <x v="272"/>
    <x v="2"/>
    <x v="1"/>
    <x v="3"/>
    <n v="960"/>
    <n v="33"/>
    <n v="31680"/>
  </r>
  <r>
    <x v="273"/>
    <x v="4"/>
    <x v="1"/>
    <x v="2"/>
    <n v="1450"/>
    <n v="34"/>
    <n v="49300"/>
  </r>
  <r>
    <x v="274"/>
    <x v="5"/>
    <x v="5"/>
    <x v="5"/>
    <n v="2500"/>
    <n v="100"/>
    <n v="250000"/>
  </r>
  <r>
    <x v="275"/>
    <x v="1"/>
    <x v="2"/>
    <x v="5"/>
    <n v="86540"/>
    <n v="6"/>
    <n v="519240"/>
  </r>
  <r>
    <x v="276"/>
    <x v="3"/>
    <x v="3"/>
    <x v="5"/>
    <n v="550"/>
    <n v="44"/>
    <n v="24200"/>
  </r>
  <r>
    <x v="277"/>
    <x v="2"/>
    <x v="4"/>
    <x v="5"/>
    <n v="65400"/>
    <n v="19"/>
    <n v="12426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3" cacheId="1"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10">
  <location ref="A1:B14" firstHeaderRow="1" firstDataRow="1" firstDataCol="1"/>
  <pivotFields count="9">
    <pivotField axis="axisRow" numFmtId="14" showAll="0">
      <items count="15">
        <item sd="0" x="0"/>
        <item sd="0" x="1"/>
        <item sd="0" x="2"/>
        <item sd="0" x="3"/>
        <item sd="0" x="4"/>
        <item sd="0" x="5"/>
        <item sd="0" x="6"/>
        <item sd="0" x="7"/>
        <item sd="0" x="8"/>
        <item sd="0" x="9"/>
        <item sd="0" x="10"/>
        <item sd="0" x="11"/>
        <item sd="0" x="12"/>
        <item sd="0" x="13"/>
        <item t="default" sd="0"/>
      </items>
    </pivotField>
    <pivotField showAll="0"/>
    <pivotField showAll="0">
      <items count="7">
        <item x="2"/>
        <item x="0"/>
        <item x="4"/>
        <item x="1"/>
        <item x="3"/>
        <item x="5"/>
        <item t="default"/>
      </items>
    </pivotField>
    <pivotField showAll="0">
      <items count="7">
        <item x="2"/>
        <item x="4"/>
        <item x="0"/>
        <item x="5"/>
        <item x="3"/>
        <item x="1"/>
        <item t="default"/>
      </items>
    </pivotField>
    <pivotField showAll="0"/>
    <pivotField showAll="0"/>
    <pivotField dataField="1" numFmtId="3" showAll="0"/>
    <pivotField showAll="0" defaultSubtotal="0">
      <items count="6">
        <item sd="0" x="0"/>
        <item sd="0" x="1"/>
        <item sd="0" x="2"/>
        <item sd="0" x="3"/>
        <item sd="0" x="4"/>
        <item sd="0" x="5"/>
      </items>
    </pivotField>
    <pivotField axis="axisRow" showAll="0" defaultSubtotal="0">
      <items count="5">
        <item sd="0" x="0"/>
        <item sd="0" x="1"/>
        <item sd="0" x="2"/>
        <item sd="0" x="3"/>
        <item sd="0" x="4"/>
      </items>
    </pivotField>
  </pivotFields>
  <rowFields count="2">
    <field x="0"/>
    <field x="8"/>
  </rowFields>
  <rowItems count="13">
    <i>
      <x v="1"/>
    </i>
    <i>
      <x v="2"/>
    </i>
    <i>
      <x v="3"/>
    </i>
    <i>
      <x v="4"/>
    </i>
    <i>
      <x v="5"/>
    </i>
    <i>
      <x v="6"/>
    </i>
    <i>
      <x v="7"/>
    </i>
    <i>
      <x v="8"/>
    </i>
    <i>
      <x v="9"/>
    </i>
    <i>
      <x v="10"/>
    </i>
    <i>
      <x v="11"/>
    </i>
    <i>
      <x v="12"/>
    </i>
    <i t="grand">
      <x/>
    </i>
  </rowItems>
  <colItems count="1">
    <i/>
  </colItems>
  <dataFields count="1">
    <dataField name="Sum of Amount" fld="6" baseField="0" baseItem="0"/>
  </dataFields>
  <chartFormats count="2">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16" cacheId="1"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17">
  <location ref="A39:A40" firstHeaderRow="1" firstDataRow="1" firstDataCol="0"/>
  <pivotFields count="9">
    <pivotField numFmtId="14" showAll="0">
      <items count="15">
        <item sd="0" x="0"/>
        <item sd="0" x="1"/>
        <item sd="0" x="2"/>
        <item sd="0" x="3"/>
        <item sd="0" x="4"/>
        <item sd="0" x="5"/>
        <item sd="0" x="6"/>
        <item sd="0" x="7"/>
        <item sd="0" x="8"/>
        <item sd="0" x="9"/>
        <item sd="0" x="10"/>
        <item sd="0" x="11"/>
        <item sd="0" x="12"/>
        <item sd="0" x="13"/>
        <item t="default" sd="0"/>
      </items>
    </pivotField>
    <pivotField showAll="0"/>
    <pivotField showAll="0">
      <items count="7">
        <item x="2"/>
        <item x="0"/>
        <item x="4"/>
        <item x="1"/>
        <item x="3"/>
        <item x="5"/>
        <item t="default"/>
      </items>
    </pivotField>
    <pivotField showAll="0">
      <items count="7">
        <item x="2"/>
        <item x="4"/>
        <item x="0"/>
        <item x="5"/>
        <item x="3"/>
        <item x="1"/>
        <item t="default"/>
      </items>
    </pivotField>
    <pivotField showAll="0"/>
    <pivotField showAll="0"/>
    <pivotField dataField="1" numFmtId="3" showAll="0"/>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Items count="1">
    <i/>
  </rowItems>
  <colItems count="1">
    <i/>
  </colItems>
  <dataFields count="1">
    <dataField name="Sum of Amount" fld="6" baseField="0" baseItem="0" numFmtId="3"/>
  </dataFields>
  <formats count="1">
    <format dxfId="0">
      <pivotArea outline="0" collapsedLevelsAreSubtotals="1" fieldPosition="0"/>
    </format>
  </formats>
  <chartFormats count="6">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7" cacheId="1"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31">
  <location ref="A98:B105" firstHeaderRow="1" firstDataRow="1" firstDataCol="1"/>
  <pivotFields count="9">
    <pivotField numFmtId="14" showAll="0">
      <items count="15">
        <item sd="0" x="0"/>
        <item sd="0" x="1"/>
        <item sd="0" x="2"/>
        <item sd="0" x="3"/>
        <item sd="0" x="4"/>
        <item sd="0" x="5"/>
        <item sd="0" x="6"/>
        <item sd="0" x="7"/>
        <item sd="0" x="8"/>
        <item sd="0" x="9"/>
        <item sd="0" x="10"/>
        <item sd="0" x="11"/>
        <item sd="0" x="12"/>
        <item sd="0" x="13"/>
        <item t="default" sd="0"/>
      </items>
    </pivotField>
    <pivotField axis="axisRow" showAll="0">
      <items count="7">
        <item x="4"/>
        <item x="2"/>
        <item x="1"/>
        <item x="3"/>
        <item x="5"/>
        <item x="0"/>
        <item t="default"/>
      </items>
    </pivotField>
    <pivotField showAll="0">
      <items count="7">
        <item x="2"/>
        <item x="0"/>
        <item x="4"/>
        <item x="1"/>
        <item x="3"/>
        <item x="5"/>
        <item t="default"/>
      </items>
    </pivotField>
    <pivotField showAll="0">
      <items count="7">
        <item x="2"/>
        <item x="4"/>
        <item x="0"/>
        <item x="5"/>
        <item x="3"/>
        <item x="1"/>
        <item t="default"/>
      </items>
    </pivotField>
    <pivotField showAll="0"/>
    <pivotField dataField="1" showAll="0"/>
    <pivotField numFmtId="3" showAll="0"/>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1"/>
  </rowFields>
  <rowItems count="7">
    <i>
      <x/>
    </i>
    <i>
      <x v="1"/>
    </i>
    <i>
      <x v="2"/>
    </i>
    <i>
      <x v="3"/>
    </i>
    <i>
      <x v="4"/>
    </i>
    <i>
      <x v="5"/>
    </i>
    <i t="grand">
      <x/>
    </i>
  </rowItems>
  <colItems count="1">
    <i/>
  </colItems>
  <dataFields count="1">
    <dataField name="Sum of Units" fld="5" baseField="0" baseItem="0"/>
  </dataFields>
  <chartFormats count="7">
    <chartFormat chart="20" format="0"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4" format="4" series="1">
      <pivotArea type="data" outline="0" fieldPosition="0">
        <references count="1">
          <reference field="4294967294" count="1" selected="0">
            <x v="0"/>
          </reference>
        </references>
      </pivotArea>
    </chartFormat>
    <chartFormat chart="26" format="0" series="1">
      <pivotArea type="data" outline="0" fieldPosition="0">
        <references count="1">
          <reference field="4294967294" count="1" selected="0">
            <x v="0"/>
          </reference>
        </references>
      </pivotArea>
    </chartFormat>
    <chartFormat chart="27" format="1" series="1">
      <pivotArea type="data" outline="0" fieldPosition="0">
        <references count="1">
          <reference field="4294967294" count="1" selected="0">
            <x v="0"/>
          </reference>
        </references>
      </pivotArea>
    </chartFormat>
    <chartFormat chart="28" format="2" series="1">
      <pivotArea type="data" outline="0" fieldPosition="0">
        <references count="1">
          <reference field="4294967294" count="1" selected="0">
            <x v="0"/>
          </reference>
        </references>
      </pivotArea>
    </chartFormat>
    <chartFormat chart="3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3" cacheId="1"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42">
  <location ref="A55:B59" firstHeaderRow="1" firstDataRow="1" firstDataCol="1"/>
  <pivotFields count="9">
    <pivotField numFmtId="14" showAll="0">
      <items count="15">
        <item sd="0" x="0"/>
        <item sd="0" x="1"/>
        <item sd="0" x="2"/>
        <item sd="0" x="3"/>
        <item sd="0" x="4"/>
        <item sd="0" x="5"/>
        <item sd="0" x="6"/>
        <item sd="0" x="7"/>
        <item sd="0" x="8"/>
        <item sd="0" x="9"/>
        <item sd="0" x="10"/>
        <item sd="0" x="11"/>
        <item sd="0" x="12"/>
        <item sd="0" x="13"/>
        <item t="default" sd="0"/>
      </items>
    </pivotField>
    <pivotField showAll="0"/>
    <pivotField axis="axisRow" showAll="0" measureFilter="1">
      <items count="7">
        <item x="2"/>
        <item x="0"/>
        <item x="4"/>
        <item x="1"/>
        <item x="3"/>
        <item x="5"/>
        <item t="default"/>
      </items>
    </pivotField>
    <pivotField showAll="0">
      <items count="7">
        <item x="2"/>
        <item x="4"/>
        <item x="0"/>
        <item x="5"/>
        <item x="3"/>
        <item x="1"/>
        <item t="default"/>
      </items>
    </pivotField>
    <pivotField showAll="0"/>
    <pivotField showAll="0"/>
    <pivotField dataField="1" numFmtId="3" showAll="0"/>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2"/>
  </rowFields>
  <rowItems count="4">
    <i>
      <x v="1"/>
    </i>
    <i>
      <x v="3"/>
    </i>
    <i>
      <x v="5"/>
    </i>
    <i t="grand">
      <x/>
    </i>
  </rowItems>
  <colItems count="1">
    <i/>
  </colItems>
  <dataFields count="1">
    <dataField name="Sum of Amount" fld="6" baseField="0" baseItem="0"/>
  </dataFields>
  <chartFormats count="16">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0"/>
          </reference>
        </references>
      </pivotArea>
    </chartFormat>
    <chartFormat chart="25" format="0" series="1">
      <pivotArea type="data" outline="0" fieldPosition="0">
        <references count="1">
          <reference field="4294967294" count="1" selected="0">
            <x v="0"/>
          </reference>
        </references>
      </pivotArea>
    </chartFormat>
    <chartFormat chart="27" format="0" series="1">
      <pivotArea type="data" outline="0" fieldPosition="0">
        <references count="1">
          <reference field="4294967294" count="1" selected="0">
            <x v="0"/>
          </reference>
        </references>
      </pivotArea>
    </chartFormat>
    <chartFormat chart="29" format="2" series="1">
      <pivotArea type="data" outline="0" fieldPosition="0">
        <references count="1">
          <reference field="4294967294" count="1" selected="0">
            <x v="0"/>
          </reference>
        </references>
      </pivotArea>
    </chartFormat>
    <chartFormat chart="31" format="0" series="1">
      <pivotArea type="data" outline="0" fieldPosition="0">
        <references count="1">
          <reference field="4294967294" count="1" selected="0">
            <x v="0"/>
          </reference>
        </references>
      </pivotArea>
    </chartFormat>
    <chartFormat chart="33" format="3" series="1">
      <pivotArea type="data" outline="0" fieldPosition="0">
        <references count="1">
          <reference field="4294967294" count="1" selected="0">
            <x v="0"/>
          </reference>
        </references>
      </pivotArea>
    </chartFormat>
    <chartFormat chart="39" format="2" series="1">
      <pivotArea type="data" outline="0" fieldPosition="0">
        <references count="1">
          <reference field="4294967294" count="1" selected="0">
            <x v="0"/>
          </reference>
        </references>
      </pivotArea>
    </chartFormat>
    <chartFormat chart="4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2" iMeasureFld="0">
      <autoFilter ref="A1">
        <filterColumn colId="0">
          <top10 top="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14" cacheId="1"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15">
  <location ref="A18:B25" firstHeaderRow="1" firstDataRow="1" firstDataCol="1"/>
  <pivotFields count="9">
    <pivotField numFmtId="14" showAll="0">
      <items count="15">
        <item sd="0" x="0"/>
        <item sd="0" x="1"/>
        <item sd="0" x="2"/>
        <item sd="0" x="3"/>
        <item sd="0" x="4"/>
        <item sd="0" x="5"/>
        <item sd="0" x="6"/>
        <item sd="0" x="7"/>
        <item sd="0" x="8"/>
        <item sd="0" x="9"/>
        <item sd="0" x="10"/>
        <item sd="0" x="11"/>
        <item sd="0" x="12"/>
        <item sd="0" x="13"/>
        <item t="default" sd="0"/>
      </items>
    </pivotField>
    <pivotField showAll="0"/>
    <pivotField showAll="0">
      <items count="7">
        <item x="2"/>
        <item x="0"/>
        <item x="4"/>
        <item x="1"/>
        <item x="3"/>
        <item x="5"/>
        <item t="default"/>
      </items>
    </pivotField>
    <pivotField axis="axisRow" showAll="0">
      <items count="7">
        <item x="2"/>
        <item x="4"/>
        <item x="0"/>
        <item x="5"/>
        <item x="3"/>
        <item x="1"/>
        <item t="default"/>
      </items>
    </pivotField>
    <pivotField showAll="0"/>
    <pivotField showAll="0"/>
    <pivotField dataField="1" numFmtId="3" showAll="0"/>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3"/>
  </rowFields>
  <rowItems count="7">
    <i>
      <x/>
    </i>
    <i>
      <x v="1"/>
    </i>
    <i>
      <x v="2"/>
    </i>
    <i>
      <x v="3"/>
    </i>
    <i>
      <x v="4"/>
    </i>
    <i>
      <x v="5"/>
    </i>
    <i t="grand">
      <x/>
    </i>
  </rowItems>
  <colItems count="1">
    <i/>
  </colItems>
  <dataFields count="1">
    <dataField name="Sum of Amount" fld="6" baseField="0" baseItem="0"/>
  </dataFields>
  <chartFormats count="4">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4" cacheId="1"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26">
  <location ref="A67:B74" firstHeaderRow="1" firstDataRow="1" firstDataCol="1"/>
  <pivotFields count="9">
    <pivotField numFmtId="14" showAll="0">
      <items count="15">
        <item sd="0" x="0"/>
        <item sd="0" x="1"/>
        <item sd="0" x="2"/>
        <item sd="0" x="3"/>
        <item sd="0" x="4"/>
        <item sd="0" x="5"/>
        <item sd="0" x="6"/>
        <item sd="0" x="7"/>
        <item sd="0" x="8"/>
        <item sd="0" x="9"/>
        <item sd="0" x="10"/>
        <item sd="0" x="11"/>
        <item sd="0" x="12"/>
        <item sd="0" x="13"/>
        <item t="default" sd="0"/>
      </items>
    </pivotField>
    <pivotField showAll="0"/>
    <pivotField axis="axisRow" showAll="0">
      <items count="7">
        <item x="2"/>
        <item x="0"/>
        <item x="4"/>
        <item x="1"/>
        <item x="3"/>
        <item x="5"/>
        <item t="default"/>
      </items>
    </pivotField>
    <pivotField showAll="0">
      <items count="7">
        <item x="2"/>
        <item x="4"/>
        <item x="0"/>
        <item x="5"/>
        <item x="3"/>
        <item x="1"/>
        <item t="default"/>
      </items>
    </pivotField>
    <pivotField showAll="0"/>
    <pivotField dataField="1" showAll="0"/>
    <pivotField numFmtId="3" showAll="0"/>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2"/>
  </rowFields>
  <rowItems count="7">
    <i>
      <x/>
    </i>
    <i>
      <x v="1"/>
    </i>
    <i>
      <x v="2"/>
    </i>
    <i>
      <x v="3"/>
    </i>
    <i>
      <x v="4"/>
    </i>
    <i>
      <x v="5"/>
    </i>
    <i t="grand">
      <x/>
    </i>
  </rowItems>
  <colItems count="1">
    <i/>
  </colItems>
  <dataFields count="1">
    <dataField name="Sum of Units" fld="5" baseField="0" baseItem="0"/>
  </dataFields>
  <chartFormats count="2">
    <chartFormat chart="20" format="0"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1" cacheId="1"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17">
  <location ref="A43:A44" firstHeaderRow="1" firstDataRow="1" firstDataCol="0"/>
  <pivotFields count="9">
    <pivotField numFmtId="14" showAll="0">
      <items count="15">
        <item sd="0" x="0"/>
        <item sd="0" x="1"/>
        <item sd="0" x="2"/>
        <item sd="0" x="3"/>
        <item sd="0" x="4"/>
        <item sd="0" x="5"/>
        <item sd="0" x="6"/>
        <item sd="0" x="7"/>
        <item sd="0" x="8"/>
        <item sd="0" x="9"/>
        <item sd="0" x="10"/>
        <item sd="0" x="11"/>
        <item sd="0" x="12"/>
        <item sd="0" x="13"/>
        <item t="default" sd="0"/>
      </items>
    </pivotField>
    <pivotField showAll="0"/>
    <pivotField showAll="0">
      <items count="7">
        <item x="2"/>
        <item x="0"/>
        <item x="4"/>
        <item x="1"/>
        <item x="3"/>
        <item x="5"/>
        <item t="default"/>
      </items>
    </pivotField>
    <pivotField showAll="0">
      <items count="7">
        <item x="2"/>
        <item x="4"/>
        <item x="0"/>
        <item x="5"/>
        <item x="3"/>
        <item x="1"/>
        <item t="default"/>
      </items>
    </pivotField>
    <pivotField showAll="0"/>
    <pivotField showAll="0"/>
    <pivotField dataField="1" numFmtId="3" showAll="0"/>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Items count="1">
    <i/>
  </rowItems>
  <colItems count="1">
    <i/>
  </colItems>
  <dataFields count="1">
    <dataField name="Count of Amount" fld="6" subtotal="count" baseField="0" baseItem="1550835536" numFmtId="3"/>
  </dataFields>
  <formats count="1">
    <format dxfId="1">
      <pivotArea outline="0" collapsedLevelsAreSubtotals="1" fieldPosition="0"/>
    </format>
  </formats>
  <chartFormats count="6">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15" cacheId="1"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19">
  <location ref="A29:B36" firstHeaderRow="1" firstDataRow="1" firstDataCol="1"/>
  <pivotFields count="9">
    <pivotField numFmtId="14" showAll="0">
      <items count="15">
        <item sd="0" x="0"/>
        <item sd="0" x="1"/>
        <item sd="0" x="2"/>
        <item sd="0" x="3"/>
        <item sd="0" x="4"/>
        <item sd="0" x="5"/>
        <item sd="0" x="6"/>
        <item sd="0" x="7"/>
        <item sd="0" x="8"/>
        <item sd="0" x="9"/>
        <item sd="0" x="10"/>
        <item sd="0" x="11"/>
        <item sd="0" x="12"/>
        <item sd="0" x="13"/>
        <item t="default" sd="0"/>
      </items>
    </pivotField>
    <pivotField showAll="0"/>
    <pivotField axis="axisRow" showAll="0">
      <items count="7">
        <item x="2"/>
        <item x="0"/>
        <item x="4"/>
        <item x="1"/>
        <item x="3"/>
        <item x="5"/>
        <item t="default"/>
      </items>
    </pivotField>
    <pivotField showAll="0">
      <items count="7">
        <item x="2"/>
        <item x="4"/>
        <item x="0"/>
        <item x="5"/>
        <item x="3"/>
        <item x="1"/>
        <item t="default"/>
      </items>
    </pivotField>
    <pivotField showAll="0"/>
    <pivotField showAll="0"/>
    <pivotField dataField="1" numFmtId="3" showAll="0"/>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2"/>
  </rowFields>
  <rowItems count="7">
    <i>
      <x/>
    </i>
    <i>
      <x v="1"/>
    </i>
    <i>
      <x v="2"/>
    </i>
    <i>
      <x v="3"/>
    </i>
    <i>
      <x v="4"/>
    </i>
    <i>
      <x v="5"/>
    </i>
    <i t="grand">
      <x/>
    </i>
  </rowItems>
  <colItems count="1">
    <i/>
  </colItems>
  <dataFields count="1">
    <dataField name="Sum of Amount" fld="6" baseField="0" baseItem="0"/>
  </dataFields>
  <chartFormats count="6">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2" cacheId="1"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34">
  <location ref="A47:B51" firstHeaderRow="1" firstDataRow="1" firstDataCol="1"/>
  <pivotFields count="9">
    <pivotField numFmtId="14" showAll="0">
      <items count="15">
        <item sd="0" x="0"/>
        <item sd="0" x="1"/>
        <item sd="0" x="2"/>
        <item sd="0" x="3"/>
        <item sd="0" x="4"/>
        <item sd="0" x="5"/>
        <item sd="0" x="6"/>
        <item sd="0" x="7"/>
        <item sd="0" x="8"/>
        <item sd="0" x="9"/>
        <item sd="0" x="10"/>
        <item sd="0" x="11"/>
        <item sd="0" x="12"/>
        <item sd="0" x="13"/>
        <item t="default" sd="0"/>
      </items>
    </pivotField>
    <pivotField showAll="0"/>
    <pivotField axis="axisRow" showAll="0" measureFilter="1">
      <items count="7">
        <item x="2"/>
        <item x="0"/>
        <item x="4"/>
        <item x="1"/>
        <item x="3"/>
        <item x="5"/>
        <item t="default"/>
      </items>
    </pivotField>
    <pivotField showAll="0">
      <items count="7">
        <item x="2"/>
        <item x="4"/>
        <item x="0"/>
        <item x="5"/>
        <item x="3"/>
        <item x="1"/>
        <item t="default"/>
      </items>
    </pivotField>
    <pivotField showAll="0"/>
    <pivotField showAll="0"/>
    <pivotField dataField="1" numFmtId="3" showAll="0"/>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2"/>
  </rowFields>
  <rowItems count="4">
    <i>
      <x/>
    </i>
    <i>
      <x v="2"/>
    </i>
    <i>
      <x v="4"/>
    </i>
    <i t="grand">
      <x/>
    </i>
  </rowItems>
  <colItems count="1">
    <i/>
  </colItems>
  <dataFields count="1">
    <dataField name="Sum of Amount" fld="6" baseField="0" baseItem="0"/>
  </dataFields>
  <chartFormats count="14">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0"/>
          </reference>
        </references>
      </pivotArea>
    </chartFormat>
    <chartFormat chart="24" format="0" series="1">
      <pivotArea type="data" outline="0" fieldPosition="0">
        <references count="1">
          <reference field="4294967294" count="1" selected="0">
            <x v="0"/>
          </reference>
        </references>
      </pivotArea>
    </chartFormat>
    <chartFormat chart="25" format="1" series="1">
      <pivotArea type="data" outline="0" fieldPosition="0">
        <references count="1">
          <reference field="4294967294" count="1" selected="0">
            <x v="0"/>
          </reference>
        </references>
      </pivotArea>
    </chartFormat>
    <chartFormat chart="26" format="2" series="1">
      <pivotArea type="data" outline="0" fieldPosition="0">
        <references count="1">
          <reference field="4294967294" count="1" selected="0">
            <x v="0"/>
          </reference>
        </references>
      </pivotArea>
    </chartFormat>
    <chartFormat chart="31" format="2" series="1">
      <pivotArea type="data" outline="0" fieldPosition="0">
        <references count="1">
          <reference field="4294967294" count="1" selected="0">
            <x v="0"/>
          </reference>
        </references>
      </pivotArea>
    </chartFormat>
    <chartFormat chart="3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2"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PivotTable6" cacheId="1"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33">
  <location ref="A91:B95" firstHeaderRow="1" firstDataRow="1" firstDataCol="1"/>
  <pivotFields count="9">
    <pivotField numFmtId="14" showAll="0">
      <items count="15">
        <item sd="0" x="0"/>
        <item sd="0" x="1"/>
        <item sd="0" x="2"/>
        <item sd="0" x="3"/>
        <item sd="0" x="4"/>
        <item sd="0" x="5"/>
        <item sd="0" x="6"/>
        <item sd="0" x="7"/>
        <item sd="0" x="8"/>
        <item sd="0" x="9"/>
        <item sd="0" x="10"/>
        <item sd="0" x="11"/>
        <item sd="0" x="12"/>
        <item sd="0" x="13"/>
        <item t="default" sd="0"/>
      </items>
    </pivotField>
    <pivotField axis="axisRow" showAll="0" measureFilter="1">
      <items count="7">
        <item x="4"/>
        <item x="2"/>
        <item x="1"/>
        <item x="3"/>
        <item x="5"/>
        <item x="0"/>
        <item t="default"/>
      </items>
    </pivotField>
    <pivotField showAll="0">
      <items count="7">
        <item x="2"/>
        <item x="0"/>
        <item x="4"/>
        <item x="1"/>
        <item x="3"/>
        <item x="5"/>
        <item t="default"/>
      </items>
    </pivotField>
    <pivotField showAll="0">
      <items count="7">
        <item x="2"/>
        <item x="4"/>
        <item x="0"/>
        <item x="5"/>
        <item x="3"/>
        <item x="1"/>
        <item t="default"/>
      </items>
    </pivotField>
    <pivotField showAll="0"/>
    <pivotField dataField="1" showAll="0"/>
    <pivotField numFmtId="3" showAll="0"/>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1"/>
  </rowFields>
  <rowItems count="4">
    <i>
      <x v="3"/>
    </i>
    <i>
      <x v="4"/>
    </i>
    <i>
      <x v="5"/>
    </i>
    <i t="grand">
      <x/>
    </i>
  </rowItems>
  <colItems count="1">
    <i/>
  </colItems>
  <dataFields count="1">
    <dataField name="Sum of Units" fld="5" baseField="0" baseItem="0"/>
  </dataFields>
  <chartFormats count="6">
    <chartFormat chart="20" format="0"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4" format="4" series="1">
      <pivotArea type="data" outline="0" fieldPosition="0">
        <references count="1">
          <reference field="4294967294" count="1" selected="0">
            <x v="0"/>
          </reference>
        </references>
      </pivotArea>
    </chartFormat>
    <chartFormat chart="28" format="0"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2" iMeasureFld="0">
      <autoFilter ref="A1">
        <filterColumn colId="0">
          <top10 top="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PivotTable5" cacheId="1"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35">
  <location ref="A82:B86" firstHeaderRow="1" firstDataRow="1" firstDataCol="1"/>
  <pivotFields count="9">
    <pivotField numFmtId="14" showAll="0">
      <items count="15">
        <item sd="0" x="0"/>
        <item sd="0" x="1"/>
        <item sd="0" x="2"/>
        <item sd="0" x="3"/>
        <item sd="0" x="4"/>
        <item sd="0" x="5"/>
        <item sd="0" x="6"/>
        <item sd="0" x="7"/>
        <item sd="0" x="8"/>
        <item sd="0" x="9"/>
        <item sd="0" x="10"/>
        <item sd="0" x="11"/>
        <item sd="0" x="12"/>
        <item sd="0" x="13"/>
        <item t="default" sd="0"/>
      </items>
    </pivotField>
    <pivotField axis="axisRow" showAll="0" measureFilter="1">
      <items count="7">
        <item x="4"/>
        <item x="2"/>
        <item x="1"/>
        <item x="3"/>
        <item x="5"/>
        <item x="0"/>
        <item t="default"/>
      </items>
    </pivotField>
    <pivotField showAll="0">
      <items count="7">
        <item x="2"/>
        <item x="0"/>
        <item x="4"/>
        <item x="1"/>
        <item x="3"/>
        <item x="5"/>
        <item t="default"/>
      </items>
    </pivotField>
    <pivotField showAll="0">
      <items count="7">
        <item x="2"/>
        <item x="4"/>
        <item x="0"/>
        <item x="5"/>
        <item x="3"/>
        <item x="1"/>
        <item t="default"/>
      </items>
    </pivotField>
    <pivotField showAll="0"/>
    <pivotField dataField="1" showAll="0"/>
    <pivotField numFmtId="3" showAll="0"/>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1"/>
  </rowFields>
  <rowItems count="4">
    <i>
      <x/>
    </i>
    <i>
      <x v="1"/>
    </i>
    <i>
      <x v="2"/>
    </i>
    <i t="grand">
      <x/>
    </i>
  </rowItems>
  <colItems count="1">
    <i/>
  </colItems>
  <dataFields count="1">
    <dataField name="Sum of Units" fld="5" baseField="0" baseItem="0"/>
  </dataFields>
  <chartFormats count="6">
    <chartFormat chart="20" format="0"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4" format="4" series="1">
      <pivotArea type="data" outline="0" fieldPosition="0">
        <references count="1">
          <reference field="4294967294" count="1" selected="0">
            <x v="0"/>
          </reference>
        </references>
      </pivotArea>
    </chartFormat>
    <chartFormat chart="30" format="0" series="1">
      <pivotArea type="data" outline="0" fieldPosition="0">
        <references count="1">
          <reference field="4294967294" count="1" selected="0">
            <x v="0"/>
          </reference>
        </references>
      </pivotArea>
    </chartFormat>
    <chartFormat chart="32" format="2" series="1">
      <pivotArea type="data" outline="0" fieldPosition="0">
        <references count="1">
          <reference field="4294967294" count="1" selected="0">
            <x v="0"/>
          </reference>
        </references>
      </pivotArea>
    </chartFormat>
    <chartFormat chart="3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Place1" sourceName="Place">
  <pivotTables>
    <pivotTable tabId="6" name="PivotTable13"/>
    <pivotTable tabId="6" name="PivotTable14"/>
    <pivotTable tabId="6" name="PivotTable15"/>
    <pivotTable tabId="6" name="PivotTable16"/>
    <pivotTable tabId="6" name="PivotTable1"/>
    <pivotTable tabId="6" name="PivotTable2"/>
    <pivotTable tabId="6" name="PivotTable3"/>
    <pivotTable tabId="6" name="PivotTable4"/>
    <pivotTable tabId="6" name="PivotTable5"/>
    <pivotTable tabId="6" name="PivotTable6"/>
    <pivotTable tabId="6" name="PivotTable7"/>
  </pivotTables>
  <data>
    <tabular pivotCacheId="1">
      <items count="6">
        <i x="2" s="1"/>
        <i x="4" s="1"/>
        <i x="0" s="1"/>
        <i x="5" s="1"/>
        <i x="3"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Products" sourceName="Products">
  <pivotTables>
    <pivotTable tabId="6" name="PivotTable4"/>
    <pivotTable tabId="6" name="PivotTable1"/>
    <pivotTable tabId="6" name="PivotTable13"/>
    <pivotTable tabId="6" name="PivotTable14"/>
    <pivotTable tabId="6" name="PivotTable15"/>
    <pivotTable tabId="6" name="PivotTable16"/>
  </pivotTables>
  <data>
    <tabular pivotCacheId="1">
      <items count="6">
        <i x="2" s="1"/>
        <i x="0" s="1"/>
        <i x="4" s="1"/>
        <i x="1" s="1"/>
        <i x="3"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Place" cache="Slicer_Place1" caption="Place" columnCount="2" rowHeight="241300"/>
  <slicer name="Products" cache="Slicer_Products" caption="Products" columnCount="6"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Place 1" cache="Slicer_Place1" caption="Place" columnCount="2" rowHeight="241300"/>
  <slicer name="Products 1" cache="Slicer_Products" caption="Products" columnCount="6" rowHeight="241300"/>
</slicers>
</file>

<file path=xl/slicers/slicer3.xml><?xml version="1.0" encoding="utf-8"?>
<slicers xmlns="http://schemas.microsoft.com/office/spreadsheetml/2009/9/main" xmlns:mc="http://schemas.openxmlformats.org/markup-compatibility/2006" xmlns:x="http://schemas.openxmlformats.org/spreadsheetml/2006/main" mc:Ignorable="x">
  <slicer name="Place 2" cache="Slicer_Place1" caption="Place" columnCount="2" rowHeight="241300"/>
  <slicer name="Products 2" cache="Slicer_Products" caption="Products" columnCount="6" rowHeight="241300"/>
</slicers>
</file>

<file path=xl/slicers/slicer4.xml><?xml version="1.0" encoding="utf-8"?>
<slicers xmlns="http://schemas.microsoft.com/office/spreadsheetml/2009/9/main" xmlns:mc="http://schemas.openxmlformats.org/markup-compatibility/2006" xmlns:x="http://schemas.openxmlformats.org/spreadsheetml/2006/main" mc:Ignorable="x">
  <slicer name="Place 3" cache="Slicer_Place1" caption="Place" columnCount="2" rowHeight="241300"/>
  <slicer name="Products 3" cache="Slicer_Products" caption="Products" columnCount="6" rowHeight="241300"/>
</slicers>
</file>

<file path=xl/slicers/slicer5.xml><?xml version="1.0" encoding="utf-8"?>
<slicers xmlns="http://schemas.microsoft.com/office/spreadsheetml/2009/9/main" xmlns:mc="http://schemas.openxmlformats.org/markup-compatibility/2006" xmlns:x="http://schemas.openxmlformats.org/spreadsheetml/2006/main" mc:Ignorable="x">
  <slicer name="Place 4" cache="Slicer_Place1" caption="Place" columnCount="2" rowHeight="241300"/>
  <slicer name="Products 4" cache="Slicer_Products" caption="Products" columnCount="6" rowHeight="241300"/>
</slicers>
</file>

<file path=xl/theme/theme1.xml><?xml version="1.0" encoding="utf-8"?>
<a:theme xmlns:a="http://schemas.openxmlformats.org/drawingml/2006/main" name="Slice">
  <a:themeElements>
    <a:clrScheme name="Slice">
      <a:dk1>
        <a:sysClr val="windowText" lastClr="000000"/>
      </a:dk1>
      <a:lt1>
        <a:sysClr val="window" lastClr="FFFFFF"/>
      </a:lt1>
      <a:dk2>
        <a:srgbClr val="146194"/>
      </a:dk2>
      <a:lt2>
        <a:srgbClr val="76DBF4"/>
      </a:lt2>
      <a:accent1>
        <a:srgbClr val="052F61"/>
      </a:accent1>
      <a:accent2>
        <a:srgbClr val="A50E82"/>
      </a:accent2>
      <a:accent3>
        <a:srgbClr val="14967C"/>
      </a:accent3>
      <a:accent4>
        <a:srgbClr val="6A9E1F"/>
      </a:accent4>
      <a:accent5>
        <a:srgbClr val="E87D37"/>
      </a:accent5>
      <a:accent6>
        <a:srgbClr val="C62324"/>
      </a:accent6>
      <a:hlink>
        <a:srgbClr val="0D2E46"/>
      </a:hlink>
      <a:folHlink>
        <a:srgbClr val="356A95"/>
      </a:folHlink>
    </a:clrScheme>
    <a:fontScheme name="Slice">
      <a:maj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Slice">
      <a:fillStyleLst>
        <a:solidFill>
          <a:schemeClr val="phClr"/>
        </a:solidFill>
        <a:gradFill rotWithShape="1">
          <a:gsLst>
            <a:gs pos="0">
              <a:schemeClr val="phClr">
                <a:tint val="62000"/>
                <a:hueMod val="94000"/>
                <a:satMod val="140000"/>
                <a:lumMod val="110000"/>
              </a:schemeClr>
            </a:gs>
            <a:gs pos="100000">
              <a:schemeClr val="phClr">
                <a:tint val="84000"/>
                <a:satMod val="160000"/>
              </a:schemeClr>
            </a:gs>
          </a:gsLst>
          <a:lin ang="5400000" scaled="0"/>
        </a:gradFill>
        <a:gradFill rotWithShape="1">
          <a:gsLst>
            <a:gs pos="0">
              <a:schemeClr val="phClr">
                <a:tint val="98000"/>
                <a:hueMod val="94000"/>
                <a:satMod val="130000"/>
                <a:lumMod val="128000"/>
              </a:schemeClr>
            </a:gs>
            <a:gs pos="100000">
              <a:schemeClr val="phClr">
                <a:shade val="94000"/>
                <a:lumMod val="88000"/>
              </a:schemeClr>
            </a:gs>
          </a:gsLst>
          <a:lin ang="5400000" scaled="0"/>
        </a:gradFill>
      </a:fillStyleLst>
      <a:lnStyleLst>
        <a:ln w="9525" cap="rnd" cmpd="sng" algn="ctr">
          <a:solidFill>
            <a:schemeClr val="phClr">
              <a:tint val="76000"/>
              <a:alpha val="60000"/>
              <a:hueMod val="94000"/>
            </a:schemeClr>
          </a:solidFill>
          <a:prstDash val="solid"/>
        </a:ln>
        <a:ln w="15875" cap="rnd" cmpd="sng" algn="ctr">
          <a:solidFill>
            <a:schemeClr val="phClr">
              <a:hueMod val="94000"/>
            </a:schemeClr>
          </a:solidFill>
          <a:prstDash val="solid"/>
        </a:ln>
        <a:ln w="28575" cap="rnd" cmpd="sng" algn="ctr">
          <a:solidFill>
            <a:schemeClr val="phClr"/>
          </a:solidFill>
          <a:prstDash val="solid"/>
        </a:ln>
      </a:lnStyleLst>
      <a:effectStyleLst>
        <a:effectStyle>
          <a:effectLst/>
        </a:effectStyle>
        <a:effectStyle>
          <a:effectLst>
            <a:innerShdw blurRad="25400" dist="12700" dir="13500000">
              <a:srgbClr val="000000">
                <a:alpha val="45000"/>
              </a:srgbClr>
            </a:innerShdw>
          </a:effectLst>
        </a:effectStyle>
        <a:effectStyle>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a:effectStyle>
      </a:effectStyleLst>
      <a:bgFillStyleLst>
        <a:solidFill>
          <a:schemeClr val="phClr"/>
        </a:solidFill>
        <a:gradFill rotWithShape="1">
          <a:gsLst>
            <a:gs pos="10000">
              <a:schemeClr val="phClr">
                <a:tint val="97000"/>
                <a:hueMod val="92000"/>
                <a:satMod val="169000"/>
                <a:lumMod val="164000"/>
              </a:schemeClr>
            </a:gs>
            <a:gs pos="100000">
              <a:schemeClr val="phClr">
                <a:shade val="96000"/>
                <a:satMod val="120000"/>
                <a:lumMod val="90000"/>
              </a:schemeClr>
            </a:gs>
          </a:gsLst>
          <a:lin ang="6120000" scaled="1"/>
        </a:gradFill>
        <a:gradFill rotWithShape="1">
          <a:gsLst>
            <a:gs pos="0">
              <a:schemeClr val="phClr">
                <a:tint val="97000"/>
                <a:hueMod val="92000"/>
                <a:satMod val="169000"/>
                <a:lumMod val="164000"/>
              </a:schemeClr>
            </a:gs>
            <a:gs pos="100000">
              <a:schemeClr val="phClr">
                <a:shade val="96000"/>
                <a:satMod val="120000"/>
                <a:lumMod val="90000"/>
              </a:schemeClr>
            </a:gs>
          </a:gsLst>
          <a:path path="circle">
            <a:fillToRect b="100000"/>
          </a:path>
        </a:gradFill>
      </a:bgFillStyleLst>
    </a:fmtScheme>
  </a:themeElements>
  <a:objectDefaults/>
  <a:extraClrSchemeLst/>
  <a:extLst>
    <a:ext uri="{05A4C25C-085E-4340-85A3-A5531E510DB2}">
      <thm15:themeFamily xmlns:thm15="http://schemas.microsoft.com/office/thememl/2012/main" name="Slice" id="{0507925B-6AC9-4358-8E18-C330545D08F8}" vid="{13FEC7C6-62A9-40C4-99D2-581AACACAA2F}"/>
    </a:ext>
  </a:extLst>
</a:theme>
</file>

<file path=xl/timelineCaches/timelineCache1.xml><?xml version="1.0" encoding="utf-8"?>
<timelineCacheDefinition xmlns="http://schemas.microsoft.com/office/spreadsheetml/2010/11/main" xmlns:x15="http://schemas.microsoft.com/office/spreadsheetml/2010/11/main" name="NativeTimeline_Date1" sourceName="Date">
  <pivotTables>
    <pivotTable tabId="6" name="PivotTable13"/>
    <pivotTable tabId="6" name="PivotTable14"/>
    <pivotTable tabId="6" name="PivotTable15"/>
    <pivotTable tabId="6" name="PivotTable16"/>
    <pivotTable tabId="6" name="PivotTable1"/>
    <pivotTable tabId="6" name="PivotTable2"/>
    <pivotTable tabId="6" name="PivotTable3"/>
    <pivotTable tabId="6" name="PivotTable4"/>
    <pivotTable tabId="6" name="PivotTable5"/>
    <pivotTable tabId="6" name="PivotTable6"/>
    <pivotTable tabId="6" name="PivotTable7"/>
  </pivotTables>
  <state minimalRefreshVersion="6" lastRefreshVersion="6" pivotCacheId="1" filterType="unknown">
    <bounds startDate="2020-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mc:Ignorable="x">
  <timeline name="Date" cache="NativeTimeline_Date1" caption="Date" showHorizontalScrollbar="0" level="2" selectionLevel="2" scrollPosition="2021-10-20T00:00:00"/>
</timelines>
</file>

<file path=xl/timelines/timeline2.xml><?xml version="1.0" encoding="utf-8"?>
<timelines xmlns="http://schemas.microsoft.com/office/spreadsheetml/2010/11/main" xmlns:mc="http://schemas.openxmlformats.org/markup-compatibility/2006" xmlns:x="http://schemas.openxmlformats.org/spreadsheetml/2006/main" mc:Ignorable="x">
  <timeline name="Date 1" cache="NativeTimeline_Date1" caption="Date" showHorizontalScrollbar="0" level="2" selectionLevel="2" scrollPosition="2021-10-20T00:00:00"/>
</timelines>
</file>

<file path=xl/timelines/timeline3.xml><?xml version="1.0" encoding="utf-8"?>
<timelines xmlns="http://schemas.microsoft.com/office/spreadsheetml/2010/11/main" xmlns:mc="http://schemas.openxmlformats.org/markup-compatibility/2006" xmlns:x="http://schemas.openxmlformats.org/spreadsheetml/2006/main" mc:Ignorable="x">
  <timeline name="Date 2" cache="NativeTimeline_Date1" caption="Date" showHorizontalScrollbar="0" level="2" selectionLevel="2" scrollPosition="2021-10-20T00:00:00"/>
</timelines>
</file>

<file path=xl/timelines/timeline4.xml><?xml version="1.0" encoding="utf-8"?>
<timelines xmlns="http://schemas.microsoft.com/office/spreadsheetml/2010/11/main" xmlns:mc="http://schemas.openxmlformats.org/markup-compatibility/2006" xmlns:x="http://schemas.openxmlformats.org/spreadsheetml/2006/main" mc:Ignorable="x">
  <timeline name="Date 3" cache="NativeTimeline_Date1" caption="Date" showHorizontalScrollbar="0" level="2" selectionLevel="2" scrollPosition="2021-10-20T00:00:00"/>
</timelines>
</file>

<file path=xl/timelines/timeline5.xml><?xml version="1.0" encoding="utf-8"?>
<timelines xmlns="http://schemas.microsoft.com/office/spreadsheetml/2010/11/main" xmlns:mc="http://schemas.openxmlformats.org/markup-compatibility/2006" xmlns:x="http://schemas.openxmlformats.org/spreadsheetml/2006/main" mc:Ignorable="x">
  <timeline name="Date 4" cache="NativeTimeline_Date1" caption="Date" showHorizontalScrollbar="0" level="2" selectionLevel="2" scrollPosition="2020-01-01T00:00:00"/>
</timeline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11/relationships/timeline" Target="../timelines/timeline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microsoft.com/office/2011/relationships/timeline" Target="../timelines/timeline3.xml"/><Relationship Id="rId2" Type="http://schemas.microsoft.com/office/2007/relationships/slicer" Target="../slicers/slicer3.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microsoft.com/office/2011/relationships/timeline" Target="../timelines/timeline4.xml"/><Relationship Id="rId2" Type="http://schemas.microsoft.com/office/2007/relationships/slicer" Target="../slicers/slicer4.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microsoft.com/office/2011/relationships/timeline" Target="../timelines/timeline5.xml"/><Relationship Id="rId2" Type="http://schemas.microsoft.com/office/2007/relationships/slicer" Target="../slicers/slicer5.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79"/>
  <sheetViews>
    <sheetView workbookViewId="0">
      <selection activeCell="D12" sqref="D12"/>
    </sheetView>
  </sheetViews>
  <sheetFormatPr defaultRowHeight="16.5" x14ac:dyDescent="0.3"/>
  <cols>
    <col min="1" max="1" width="11.875" bestFit="1" customWidth="1"/>
    <col min="2" max="2" width="16.25" customWidth="1"/>
    <col min="3" max="4" width="11.5" customWidth="1"/>
    <col min="5" max="6" width="6.5" customWidth="1"/>
    <col min="7" max="7" width="9.875" customWidth="1"/>
  </cols>
  <sheetData>
    <row r="1" spans="1:7" ht="18" x14ac:dyDescent="0.3">
      <c r="A1" s="8" t="s">
        <v>0</v>
      </c>
      <c r="B1" s="8" t="s">
        <v>1</v>
      </c>
      <c r="C1" s="8" t="s">
        <v>2</v>
      </c>
      <c r="D1" s="8" t="s">
        <v>3</v>
      </c>
      <c r="E1" s="8" t="s">
        <v>4</v>
      </c>
      <c r="F1" s="8" t="s">
        <v>5</v>
      </c>
      <c r="G1" s="8" t="s">
        <v>6</v>
      </c>
    </row>
    <row r="2" spans="1:7" x14ac:dyDescent="0.3">
      <c r="A2" s="9">
        <v>43831</v>
      </c>
      <c r="B2" s="10" t="s">
        <v>7</v>
      </c>
      <c r="C2" s="10" t="s">
        <v>8</v>
      </c>
      <c r="D2" s="10" t="s">
        <v>9</v>
      </c>
      <c r="E2" s="10">
        <v>499</v>
      </c>
      <c r="F2" s="10">
        <v>50</v>
      </c>
      <c r="G2" s="11">
        <f>E2*F2</f>
        <v>24950</v>
      </c>
    </row>
    <row r="3" spans="1:7" x14ac:dyDescent="0.3">
      <c r="A3" s="12">
        <v>43835</v>
      </c>
      <c r="B3" s="13" t="s">
        <v>10</v>
      </c>
      <c r="C3" s="13" t="s">
        <v>8</v>
      </c>
      <c r="D3" s="13" t="s">
        <v>11</v>
      </c>
      <c r="E3" s="13">
        <v>5599</v>
      </c>
      <c r="F3" s="13">
        <v>33</v>
      </c>
      <c r="G3" s="14">
        <f t="shared" ref="G3:G66" si="0">E3*F3</f>
        <v>184767</v>
      </c>
    </row>
    <row r="4" spans="1:7" x14ac:dyDescent="0.3">
      <c r="A4" s="9">
        <v>43839</v>
      </c>
      <c r="B4" s="10" t="s">
        <v>12</v>
      </c>
      <c r="C4" s="10" t="s">
        <v>13</v>
      </c>
      <c r="D4" s="10" t="s">
        <v>14</v>
      </c>
      <c r="E4" s="10">
        <v>1450</v>
      </c>
      <c r="F4" s="10">
        <v>44</v>
      </c>
      <c r="G4" s="11">
        <f t="shared" si="0"/>
        <v>63800</v>
      </c>
    </row>
    <row r="5" spans="1:7" x14ac:dyDescent="0.3">
      <c r="A5" s="12">
        <v>43843</v>
      </c>
      <c r="B5" s="13" t="s">
        <v>15</v>
      </c>
      <c r="C5" s="13" t="s">
        <v>16</v>
      </c>
      <c r="D5" s="13" t="s">
        <v>9</v>
      </c>
      <c r="E5" s="13">
        <v>85000</v>
      </c>
      <c r="F5" s="13">
        <v>50</v>
      </c>
      <c r="G5" s="14">
        <f t="shared" si="0"/>
        <v>4250000</v>
      </c>
    </row>
    <row r="6" spans="1:7" x14ac:dyDescent="0.3">
      <c r="A6" s="9">
        <v>43847</v>
      </c>
      <c r="B6" s="10" t="s">
        <v>15</v>
      </c>
      <c r="C6" s="10" t="s">
        <v>17</v>
      </c>
      <c r="D6" s="10" t="s">
        <v>18</v>
      </c>
      <c r="E6" s="10">
        <v>15000</v>
      </c>
      <c r="F6" s="10">
        <v>11</v>
      </c>
      <c r="G6" s="11">
        <f t="shared" si="0"/>
        <v>165000</v>
      </c>
    </row>
    <row r="7" spans="1:7" x14ac:dyDescent="0.3">
      <c r="A7" s="12">
        <v>43851</v>
      </c>
      <c r="B7" s="13" t="s">
        <v>10</v>
      </c>
      <c r="C7" s="13" t="s">
        <v>8</v>
      </c>
      <c r="D7" s="13" t="s">
        <v>18</v>
      </c>
      <c r="E7" s="13">
        <v>2550</v>
      </c>
      <c r="F7" s="13">
        <v>48</v>
      </c>
      <c r="G7" s="14">
        <f t="shared" si="0"/>
        <v>122400</v>
      </c>
    </row>
    <row r="8" spans="1:7" x14ac:dyDescent="0.3">
      <c r="A8" s="9">
        <v>43855</v>
      </c>
      <c r="B8" s="10" t="s">
        <v>19</v>
      </c>
      <c r="C8" s="10" t="s">
        <v>20</v>
      </c>
      <c r="D8" s="10" t="s">
        <v>14</v>
      </c>
      <c r="E8" s="10">
        <v>33000</v>
      </c>
      <c r="F8" s="10">
        <v>26</v>
      </c>
      <c r="G8" s="11">
        <f t="shared" si="0"/>
        <v>858000</v>
      </c>
    </row>
    <row r="9" spans="1:7" x14ac:dyDescent="0.3">
      <c r="A9" s="12">
        <v>43859</v>
      </c>
      <c r="B9" s="13" t="s">
        <v>7</v>
      </c>
      <c r="C9" s="13" t="s">
        <v>16</v>
      </c>
      <c r="D9" s="13" t="s">
        <v>21</v>
      </c>
      <c r="E9" s="13">
        <v>86000</v>
      </c>
      <c r="F9" s="13">
        <v>39</v>
      </c>
      <c r="G9" s="14">
        <f t="shared" si="0"/>
        <v>3354000</v>
      </c>
    </row>
    <row r="10" spans="1:7" x14ac:dyDescent="0.3">
      <c r="A10" s="9">
        <v>43863</v>
      </c>
      <c r="B10" s="10" t="s">
        <v>12</v>
      </c>
      <c r="C10" s="10" t="s">
        <v>22</v>
      </c>
      <c r="D10" s="10" t="s">
        <v>18</v>
      </c>
      <c r="E10" s="10">
        <v>990</v>
      </c>
      <c r="F10" s="10">
        <v>9</v>
      </c>
      <c r="G10" s="11">
        <f t="shared" si="0"/>
        <v>8910</v>
      </c>
    </row>
    <row r="11" spans="1:7" x14ac:dyDescent="0.3">
      <c r="A11" s="12">
        <v>43867</v>
      </c>
      <c r="B11" s="13" t="s">
        <v>7</v>
      </c>
      <c r="C11" s="13" t="s">
        <v>8</v>
      </c>
      <c r="D11" s="13" t="s">
        <v>9</v>
      </c>
      <c r="E11" s="13">
        <v>5599</v>
      </c>
      <c r="F11" s="13">
        <v>41</v>
      </c>
      <c r="G11" s="14">
        <f t="shared" si="0"/>
        <v>229559</v>
      </c>
    </row>
    <row r="12" spans="1:7" x14ac:dyDescent="0.3">
      <c r="A12" s="9">
        <v>43871</v>
      </c>
      <c r="B12" s="10" t="s">
        <v>19</v>
      </c>
      <c r="C12" s="10" t="s">
        <v>20</v>
      </c>
      <c r="D12" s="10" t="s">
        <v>14</v>
      </c>
      <c r="E12" s="10">
        <v>499</v>
      </c>
      <c r="F12" s="10">
        <v>39</v>
      </c>
      <c r="G12" s="11">
        <f t="shared" si="0"/>
        <v>19461</v>
      </c>
    </row>
    <row r="13" spans="1:7" x14ac:dyDescent="0.3">
      <c r="A13" s="12">
        <v>43875</v>
      </c>
      <c r="B13" s="13" t="s">
        <v>10</v>
      </c>
      <c r="C13" s="13" t="s">
        <v>22</v>
      </c>
      <c r="D13" s="13" t="s">
        <v>9</v>
      </c>
      <c r="E13" s="13">
        <v>1999</v>
      </c>
      <c r="F13" s="13">
        <v>4</v>
      </c>
      <c r="G13" s="14">
        <f t="shared" si="0"/>
        <v>7996</v>
      </c>
    </row>
    <row r="14" spans="1:7" x14ac:dyDescent="0.3">
      <c r="A14" s="9">
        <v>43879</v>
      </c>
      <c r="B14" s="10" t="s">
        <v>15</v>
      </c>
      <c r="C14" s="10" t="s">
        <v>16</v>
      </c>
      <c r="D14" s="10" t="s">
        <v>9</v>
      </c>
      <c r="E14" s="10">
        <v>63400</v>
      </c>
      <c r="F14" s="10">
        <v>8</v>
      </c>
      <c r="G14" s="11">
        <f t="shared" si="0"/>
        <v>507200</v>
      </c>
    </row>
    <row r="15" spans="1:7" x14ac:dyDescent="0.3">
      <c r="A15" s="12">
        <v>43883</v>
      </c>
      <c r="B15" s="13" t="s">
        <v>23</v>
      </c>
      <c r="C15" s="13" t="s">
        <v>22</v>
      </c>
      <c r="D15" s="13" t="s">
        <v>18</v>
      </c>
      <c r="E15" s="13">
        <v>1499</v>
      </c>
      <c r="F15" s="13">
        <v>27</v>
      </c>
      <c r="G15" s="14">
        <f t="shared" si="0"/>
        <v>40473</v>
      </c>
    </row>
    <row r="16" spans="1:7" x14ac:dyDescent="0.3">
      <c r="A16" s="9">
        <v>43887</v>
      </c>
      <c r="B16" s="10" t="s">
        <v>15</v>
      </c>
      <c r="C16" s="10" t="s">
        <v>17</v>
      </c>
      <c r="D16" s="10" t="s">
        <v>14</v>
      </c>
      <c r="E16" s="10">
        <v>120</v>
      </c>
      <c r="F16" s="10">
        <v>10</v>
      </c>
      <c r="G16" s="11">
        <f t="shared" si="0"/>
        <v>1200</v>
      </c>
    </row>
    <row r="17" spans="1:7" x14ac:dyDescent="0.3">
      <c r="A17" s="12">
        <v>43891</v>
      </c>
      <c r="B17" s="13" t="s">
        <v>10</v>
      </c>
      <c r="C17" s="13" t="s">
        <v>20</v>
      </c>
      <c r="D17" s="13" t="s">
        <v>21</v>
      </c>
      <c r="E17" s="13">
        <v>11999</v>
      </c>
      <c r="F17" s="13">
        <v>17</v>
      </c>
      <c r="G17" s="14">
        <f t="shared" si="0"/>
        <v>203983</v>
      </c>
    </row>
    <row r="18" spans="1:7" x14ac:dyDescent="0.3">
      <c r="A18" s="9">
        <v>43895</v>
      </c>
      <c r="B18" s="10" t="s">
        <v>12</v>
      </c>
      <c r="C18" s="10" t="s">
        <v>16</v>
      </c>
      <c r="D18" s="10" t="s">
        <v>11</v>
      </c>
      <c r="E18" s="10">
        <v>47500</v>
      </c>
      <c r="F18" s="10">
        <v>27</v>
      </c>
      <c r="G18" s="11">
        <f t="shared" si="0"/>
        <v>1282500</v>
      </c>
    </row>
    <row r="19" spans="1:7" x14ac:dyDescent="0.3">
      <c r="A19" s="12">
        <v>43899</v>
      </c>
      <c r="B19" s="13" t="s">
        <v>19</v>
      </c>
      <c r="C19" s="13" t="s">
        <v>20</v>
      </c>
      <c r="D19" s="13" t="s">
        <v>11</v>
      </c>
      <c r="E19" s="13">
        <v>2999</v>
      </c>
      <c r="F19" s="13">
        <v>43</v>
      </c>
      <c r="G19" s="14">
        <f t="shared" si="0"/>
        <v>128957</v>
      </c>
    </row>
    <row r="20" spans="1:7" x14ac:dyDescent="0.3">
      <c r="A20" s="9">
        <v>43903</v>
      </c>
      <c r="B20" s="10" t="s">
        <v>15</v>
      </c>
      <c r="C20" s="10" t="s">
        <v>17</v>
      </c>
      <c r="D20" s="10" t="s">
        <v>11</v>
      </c>
      <c r="E20" s="10">
        <v>8900</v>
      </c>
      <c r="F20" s="10">
        <v>9</v>
      </c>
      <c r="G20" s="11">
        <f t="shared" si="0"/>
        <v>80100</v>
      </c>
    </row>
    <row r="21" spans="1:7" x14ac:dyDescent="0.3">
      <c r="A21" s="12">
        <v>43907</v>
      </c>
      <c r="B21" s="13" t="s">
        <v>10</v>
      </c>
      <c r="C21" s="13" t="s">
        <v>20</v>
      </c>
      <c r="D21" s="13" t="s">
        <v>9</v>
      </c>
      <c r="E21" s="13">
        <v>22000</v>
      </c>
      <c r="F21" s="13">
        <v>42</v>
      </c>
      <c r="G21" s="14">
        <f t="shared" si="0"/>
        <v>924000</v>
      </c>
    </row>
    <row r="22" spans="1:7" x14ac:dyDescent="0.3">
      <c r="A22" s="9">
        <v>43911</v>
      </c>
      <c r="B22" s="10" t="s">
        <v>12</v>
      </c>
      <c r="C22" s="10" t="s">
        <v>13</v>
      </c>
      <c r="D22" s="10" t="s">
        <v>11</v>
      </c>
      <c r="E22" s="10">
        <v>1250</v>
      </c>
      <c r="F22" s="10">
        <v>6</v>
      </c>
      <c r="G22" s="11">
        <f t="shared" si="0"/>
        <v>7500</v>
      </c>
    </row>
    <row r="23" spans="1:7" x14ac:dyDescent="0.3">
      <c r="A23" s="12">
        <v>43915</v>
      </c>
      <c r="B23" s="13" t="s">
        <v>15</v>
      </c>
      <c r="C23" s="13" t="s">
        <v>17</v>
      </c>
      <c r="D23" s="13" t="s">
        <v>18</v>
      </c>
      <c r="E23" s="13">
        <v>999</v>
      </c>
      <c r="F23" s="13">
        <v>28</v>
      </c>
      <c r="G23" s="14">
        <f t="shared" si="0"/>
        <v>27972</v>
      </c>
    </row>
    <row r="24" spans="1:7" x14ac:dyDescent="0.3">
      <c r="A24" s="9">
        <v>43919</v>
      </c>
      <c r="B24" s="10" t="s">
        <v>19</v>
      </c>
      <c r="C24" s="10" t="s">
        <v>13</v>
      </c>
      <c r="D24" s="10" t="s">
        <v>21</v>
      </c>
      <c r="E24" s="10">
        <v>1450</v>
      </c>
      <c r="F24" s="10">
        <v>13</v>
      </c>
      <c r="G24" s="11">
        <f t="shared" si="0"/>
        <v>18850</v>
      </c>
    </row>
    <row r="25" spans="1:7" x14ac:dyDescent="0.3">
      <c r="A25" s="12">
        <v>43923</v>
      </c>
      <c r="B25" s="13" t="s">
        <v>19</v>
      </c>
      <c r="C25" s="13" t="s">
        <v>13</v>
      </c>
      <c r="D25" s="13" t="s">
        <v>14</v>
      </c>
      <c r="E25" s="13">
        <v>23999</v>
      </c>
      <c r="F25" s="13">
        <v>8</v>
      </c>
      <c r="G25" s="14">
        <f t="shared" si="0"/>
        <v>191992</v>
      </c>
    </row>
    <row r="26" spans="1:7" x14ac:dyDescent="0.3">
      <c r="A26" s="9">
        <v>43927</v>
      </c>
      <c r="B26" s="10" t="s">
        <v>10</v>
      </c>
      <c r="C26" s="10" t="s">
        <v>16</v>
      </c>
      <c r="D26" s="10" t="s">
        <v>21</v>
      </c>
      <c r="E26" s="10">
        <v>65200</v>
      </c>
      <c r="F26" s="10">
        <v>7</v>
      </c>
      <c r="G26" s="11">
        <f t="shared" si="0"/>
        <v>456400</v>
      </c>
    </row>
    <row r="27" spans="1:7" x14ac:dyDescent="0.3">
      <c r="A27" s="12">
        <v>43931</v>
      </c>
      <c r="B27" s="13" t="s">
        <v>10</v>
      </c>
      <c r="C27" s="13" t="s">
        <v>22</v>
      </c>
      <c r="D27" s="13" t="s">
        <v>11</v>
      </c>
      <c r="E27" s="13">
        <v>699</v>
      </c>
      <c r="F27" s="13">
        <v>45</v>
      </c>
      <c r="G27" s="14">
        <f t="shared" si="0"/>
        <v>31455</v>
      </c>
    </row>
    <row r="28" spans="1:7" x14ac:dyDescent="0.3">
      <c r="A28" s="9">
        <v>43935</v>
      </c>
      <c r="B28" s="10" t="s">
        <v>7</v>
      </c>
      <c r="C28" s="10" t="s">
        <v>8</v>
      </c>
      <c r="D28" s="10" t="s">
        <v>9</v>
      </c>
      <c r="E28" s="10">
        <v>2550</v>
      </c>
      <c r="F28" s="10">
        <v>22</v>
      </c>
      <c r="G28" s="11">
        <f t="shared" si="0"/>
        <v>56100</v>
      </c>
    </row>
    <row r="29" spans="1:7" x14ac:dyDescent="0.3">
      <c r="A29" s="12">
        <v>43939</v>
      </c>
      <c r="B29" s="13" t="s">
        <v>12</v>
      </c>
      <c r="C29" s="13" t="s">
        <v>20</v>
      </c>
      <c r="D29" s="13" t="s">
        <v>21</v>
      </c>
      <c r="E29" s="13">
        <v>22000</v>
      </c>
      <c r="F29" s="13">
        <v>4</v>
      </c>
      <c r="G29" s="14">
        <f t="shared" si="0"/>
        <v>88000</v>
      </c>
    </row>
    <row r="30" spans="1:7" x14ac:dyDescent="0.3">
      <c r="A30" s="9">
        <v>43943</v>
      </c>
      <c r="B30" s="10" t="s">
        <v>19</v>
      </c>
      <c r="C30" s="10" t="s">
        <v>16</v>
      </c>
      <c r="D30" s="10" t="s">
        <v>9</v>
      </c>
      <c r="E30" s="10">
        <v>22000</v>
      </c>
      <c r="F30" s="10">
        <v>10</v>
      </c>
      <c r="G30" s="11">
        <f t="shared" si="0"/>
        <v>220000</v>
      </c>
    </row>
    <row r="31" spans="1:7" x14ac:dyDescent="0.3">
      <c r="A31" s="12">
        <v>43947</v>
      </c>
      <c r="B31" s="13" t="s">
        <v>23</v>
      </c>
      <c r="C31" s="13" t="s">
        <v>22</v>
      </c>
      <c r="D31" s="13" t="s">
        <v>18</v>
      </c>
      <c r="E31" s="13">
        <v>1499</v>
      </c>
      <c r="F31" s="13">
        <v>16</v>
      </c>
      <c r="G31" s="14">
        <f t="shared" si="0"/>
        <v>23984</v>
      </c>
    </row>
    <row r="32" spans="1:7" x14ac:dyDescent="0.3">
      <c r="A32" s="9">
        <v>43951</v>
      </c>
      <c r="B32" s="10" t="s">
        <v>10</v>
      </c>
      <c r="C32" s="10" t="s">
        <v>17</v>
      </c>
      <c r="D32" s="10" t="s">
        <v>21</v>
      </c>
      <c r="E32" s="10">
        <v>120</v>
      </c>
      <c r="F32" s="10">
        <v>22</v>
      </c>
      <c r="G32" s="11">
        <f t="shared" si="0"/>
        <v>2640</v>
      </c>
    </row>
    <row r="33" spans="1:7" x14ac:dyDescent="0.3">
      <c r="A33" s="12">
        <v>43955</v>
      </c>
      <c r="B33" s="13" t="s">
        <v>7</v>
      </c>
      <c r="C33" s="13" t="s">
        <v>8</v>
      </c>
      <c r="D33" s="13" t="s">
        <v>14</v>
      </c>
      <c r="E33" s="13">
        <v>1450</v>
      </c>
      <c r="F33" s="13">
        <v>20</v>
      </c>
      <c r="G33" s="14">
        <f t="shared" si="0"/>
        <v>29000</v>
      </c>
    </row>
    <row r="34" spans="1:7" x14ac:dyDescent="0.3">
      <c r="A34" s="9">
        <v>43959</v>
      </c>
      <c r="B34" s="10" t="s">
        <v>23</v>
      </c>
      <c r="C34" s="10" t="s">
        <v>22</v>
      </c>
      <c r="D34" s="10" t="s">
        <v>18</v>
      </c>
      <c r="E34" s="10">
        <v>1999</v>
      </c>
      <c r="F34" s="10">
        <v>23</v>
      </c>
      <c r="G34" s="11">
        <f t="shared" si="0"/>
        <v>45977</v>
      </c>
    </row>
    <row r="35" spans="1:7" x14ac:dyDescent="0.3">
      <c r="A35" s="12">
        <v>43963</v>
      </c>
      <c r="B35" s="13" t="s">
        <v>10</v>
      </c>
      <c r="C35" s="13" t="s">
        <v>8</v>
      </c>
      <c r="D35" s="13" t="s">
        <v>9</v>
      </c>
      <c r="E35" s="13">
        <v>800</v>
      </c>
      <c r="F35" s="13">
        <v>43</v>
      </c>
      <c r="G35" s="14">
        <f t="shared" si="0"/>
        <v>34400</v>
      </c>
    </row>
    <row r="36" spans="1:7" x14ac:dyDescent="0.3">
      <c r="A36" s="9">
        <v>43967</v>
      </c>
      <c r="B36" s="10" t="s">
        <v>12</v>
      </c>
      <c r="C36" s="10" t="s">
        <v>17</v>
      </c>
      <c r="D36" s="10" t="s">
        <v>18</v>
      </c>
      <c r="E36" s="10">
        <v>18000</v>
      </c>
      <c r="F36" s="10">
        <v>41</v>
      </c>
      <c r="G36" s="11">
        <f t="shared" si="0"/>
        <v>738000</v>
      </c>
    </row>
    <row r="37" spans="1:7" x14ac:dyDescent="0.3">
      <c r="A37" s="12">
        <v>43971</v>
      </c>
      <c r="B37" s="13" t="s">
        <v>7</v>
      </c>
      <c r="C37" s="13" t="s">
        <v>8</v>
      </c>
      <c r="D37" s="13" t="s">
        <v>11</v>
      </c>
      <c r="E37" s="13">
        <v>13999</v>
      </c>
      <c r="F37" s="13">
        <v>37</v>
      </c>
      <c r="G37" s="14">
        <f t="shared" si="0"/>
        <v>517963</v>
      </c>
    </row>
    <row r="38" spans="1:7" x14ac:dyDescent="0.3">
      <c r="A38" s="9">
        <v>43975</v>
      </c>
      <c r="B38" s="10" t="s">
        <v>10</v>
      </c>
      <c r="C38" s="10" t="s">
        <v>20</v>
      </c>
      <c r="D38" s="10" t="s">
        <v>18</v>
      </c>
      <c r="E38" s="10">
        <v>22000</v>
      </c>
      <c r="F38" s="10">
        <v>45</v>
      </c>
      <c r="G38" s="11">
        <f t="shared" si="0"/>
        <v>990000</v>
      </c>
    </row>
    <row r="39" spans="1:7" x14ac:dyDescent="0.3">
      <c r="A39" s="12">
        <v>43979</v>
      </c>
      <c r="B39" s="13" t="s">
        <v>19</v>
      </c>
      <c r="C39" s="13" t="s">
        <v>16</v>
      </c>
      <c r="D39" s="13" t="s">
        <v>9</v>
      </c>
      <c r="E39" s="13">
        <v>89999</v>
      </c>
      <c r="F39" s="13">
        <v>15</v>
      </c>
      <c r="G39" s="14">
        <f t="shared" si="0"/>
        <v>1349985</v>
      </c>
    </row>
    <row r="40" spans="1:7" x14ac:dyDescent="0.3">
      <c r="A40" s="9">
        <v>43983</v>
      </c>
      <c r="B40" s="10" t="s">
        <v>7</v>
      </c>
      <c r="C40" s="10" t="s">
        <v>8</v>
      </c>
      <c r="D40" s="10" t="s">
        <v>14</v>
      </c>
      <c r="E40" s="10">
        <v>13999</v>
      </c>
      <c r="F40" s="10">
        <v>22</v>
      </c>
      <c r="G40" s="11">
        <f t="shared" si="0"/>
        <v>307978</v>
      </c>
    </row>
    <row r="41" spans="1:7" x14ac:dyDescent="0.3">
      <c r="A41" s="12">
        <v>43987</v>
      </c>
      <c r="B41" s="13" t="s">
        <v>12</v>
      </c>
      <c r="C41" s="13" t="s">
        <v>22</v>
      </c>
      <c r="D41" s="13" t="s">
        <v>11</v>
      </c>
      <c r="E41" s="13">
        <v>2900</v>
      </c>
      <c r="F41" s="13">
        <v>20</v>
      </c>
      <c r="G41" s="14">
        <f t="shared" si="0"/>
        <v>58000</v>
      </c>
    </row>
    <row r="42" spans="1:7" x14ac:dyDescent="0.3">
      <c r="A42" s="9">
        <v>43991</v>
      </c>
      <c r="B42" s="10" t="s">
        <v>10</v>
      </c>
      <c r="C42" s="10" t="s">
        <v>20</v>
      </c>
      <c r="D42" s="10" t="s">
        <v>18</v>
      </c>
      <c r="E42" s="10">
        <v>33000</v>
      </c>
      <c r="F42" s="10">
        <v>16</v>
      </c>
      <c r="G42" s="11">
        <f t="shared" si="0"/>
        <v>528000</v>
      </c>
    </row>
    <row r="43" spans="1:7" x14ac:dyDescent="0.3">
      <c r="A43" s="12">
        <v>43995</v>
      </c>
      <c r="B43" s="13" t="s">
        <v>12</v>
      </c>
      <c r="C43" s="13" t="s">
        <v>20</v>
      </c>
      <c r="D43" s="13" t="s">
        <v>11</v>
      </c>
      <c r="E43" s="13">
        <v>22000</v>
      </c>
      <c r="F43" s="13">
        <v>17</v>
      </c>
      <c r="G43" s="14">
        <f t="shared" si="0"/>
        <v>374000</v>
      </c>
    </row>
    <row r="44" spans="1:7" x14ac:dyDescent="0.3">
      <c r="A44" s="9">
        <v>43999</v>
      </c>
      <c r="B44" s="10" t="s">
        <v>23</v>
      </c>
      <c r="C44" s="10" t="s">
        <v>22</v>
      </c>
      <c r="D44" s="10" t="s">
        <v>11</v>
      </c>
      <c r="E44" s="10">
        <v>699</v>
      </c>
      <c r="F44" s="10">
        <v>50</v>
      </c>
      <c r="G44" s="11">
        <f t="shared" si="0"/>
        <v>34950</v>
      </c>
    </row>
    <row r="45" spans="1:7" x14ac:dyDescent="0.3">
      <c r="A45" s="12">
        <v>44003</v>
      </c>
      <c r="B45" s="13" t="s">
        <v>19</v>
      </c>
      <c r="C45" s="13" t="s">
        <v>20</v>
      </c>
      <c r="D45" s="13" t="s">
        <v>14</v>
      </c>
      <c r="E45" s="13">
        <v>499</v>
      </c>
      <c r="F45" s="13">
        <v>4</v>
      </c>
      <c r="G45" s="14">
        <f t="shared" si="0"/>
        <v>1996</v>
      </c>
    </row>
    <row r="46" spans="1:7" x14ac:dyDescent="0.3">
      <c r="A46" s="9">
        <v>44007</v>
      </c>
      <c r="B46" s="10" t="s">
        <v>10</v>
      </c>
      <c r="C46" s="10" t="s">
        <v>22</v>
      </c>
      <c r="D46" s="10" t="s">
        <v>18</v>
      </c>
      <c r="E46" s="10">
        <v>590</v>
      </c>
      <c r="F46" s="10">
        <v>43</v>
      </c>
      <c r="G46" s="11">
        <f t="shared" si="0"/>
        <v>25370</v>
      </c>
    </row>
    <row r="47" spans="1:7" x14ac:dyDescent="0.3">
      <c r="A47" s="12">
        <v>44011</v>
      </c>
      <c r="B47" s="13" t="s">
        <v>23</v>
      </c>
      <c r="C47" s="13" t="s">
        <v>22</v>
      </c>
      <c r="D47" s="13" t="s">
        <v>11</v>
      </c>
      <c r="E47" s="13">
        <v>590</v>
      </c>
      <c r="F47" s="13">
        <v>42</v>
      </c>
      <c r="G47" s="14">
        <f t="shared" si="0"/>
        <v>24780</v>
      </c>
    </row>
    <row r="48" spans="1:7" x14ac:dyDescent="0.3">
      <c r="A48" s="9">
        <v>44015</v>
      </c>
      <c r="B48" s="10" t="s">
        <v>10</v>
      </c>
      <c r="C48" s="10" t="s">
        <v>16</v>
      </c>
      <c r="D48" s="10" t="s">
        <v>9</v>
      </c>
      <c r="E48" s="10">
        <v>120</v>
      </c>
      <c r="F48" s="10">
        <v>9</v>
      </c>
      <c r="G48" s="11">
        <f t="shared" si="0"/>
        <v>1080</v>
      </c>
    </row>
    <row r="49" spans="1:7" x14ac:dyDescent="0.3">
      <c r="A49" s="12">
        <v>44019</v>
      </c>
      <c r="B49" s="13" t="s">
        <v>19</v>
      </c>
      <c r="C49" s="13" t="s">
        <v>20</v>
      </c>
      <c r="D49" s="13" t="s">
        <v>21</v>
      </c>
      <c r="E49" s="13">
        <v>52000</v>
      </c>
      <c r="F49" s="13">
        <v>40</v>
      </c>
      <c r="G49" s="14">
        <f t="shared" si="0"/>
        <v>2080000</v>
      </c>
    </row>
    <row r="50" spans="1:7" x14ac:dyDescent="0.3">
      <c r="A50" s="9">
        <v>44023</v>
      </c>
      <c r="B50" s="10" t="s">
        <v>12</v>
      </c>
      <c r="C50" s="10" t="s">
        <v>13</v>
      </c>
      <c r="D50" s="10" t="s">
        <v>18</v>
      </c>
      <c r="E50" s="10">
        <v>7999</v>
      </c>
      <c r="F50" s="10">
        <v>14</v>
      </c>
      <c r="G50" s="11">
        <f t="shared" si="0"/>
        <v>111986</v>
      </c>
    </row>
    <row r="51" spans="1:7" x14ac:dyDescent="0.3">
      <c r="A51" s="12">
        <v>44027</v>
      </c>
      <c r="B51" s="13" t="s">
        <v>10</v>
      </c>
      <c r="C51" s="13" t="s">
        <v>13</v>
      </c>
      <c r="D51" s="13" t="s">
        <v>21</v>
      </c>
      <c r="E51" s="13">
        <v>550</v>
      </c>
      <c r="F51" s="13">
        <v>9</v>
      </c>
      <c r="G51" s="14">
        <f t="shared" si="0"/>
        <v>4950</v>
      </c>
    </row>
    <row r="52" spans="1:7" x14ac:dyDescent="0.3">
      <c r="A52" s="9">
        <v>44031</v>
      </c>
      <c r="B52" s="10" t="s">
        <v>12</v>
      </c>
      <c r="C52" s="10" t="s">
        <v>16</v>
      </c>
      <c r="D52" s="10" t="s">
        <v>18</v>
      </c>
      <c r="E52" s="10">
        <v>79999</v>
      </c>
      <c r="F52" s="10">
        <v>10</v>
      </c>
      <c r="G52" s="11">
        <f t="shared" si="0"/>
        <v>799990</v>
      </c>
    </row>
    <row r="53" spans="1:7" x14ac:dyDescent="0.3">
      <c r="A53" s="12">
        <v>44035</v>
      </c>
      <c r="B53" s="13" t="s">
        <v>23</v>
      </c>
      <c r="C53" s="13" t="s">
        <v>22</v>
      </c>
      <c r="D53" s="13" t="s">
        <v>18</v>
      </c>
      <c r="E53" s="13">
        <v>1999</v>
      </c>
      <c r="F53" s="13">
        <v>37</v>
      </c>
      <c r="G53" s="14">
        <f t="shared" si="0"/>
        <v>73963</v>
      </c>
    </row>
    <row r="54" spans="1:7" x14ac:dyDescent="0.3">
      <c r="A54" s="9">
        <v>44039</v>
      </c>
      <c r="B54" s="10" t="s">
        <v>19</v>
      </c>
      <c r="C54" s="10" t="s">
        <v>20</v>
      </c>
      <c r="D54" s="10" t="s">
        <v>14</v>
      </c>
      <c r="E54" s="10">
        <v>89999</v>
      </c>
      <c r="F54" s="10">
        <v>29</v>
      </c>
      <c r="G54" s="11">
        <f t="shared" si="0"/>
        <v>2609971</v>
      </c>
    </row>
    <row r="55" spans="1:7" x14ac:dyDescent="0.3">
      <c r="A55" s="12">
        <v>44043</v>
      </c>
      <c r="B55" s="13" t="s">
        <v>10</v>
      </c>
      <c r="C55" s="13" t="s">
        <v>16</v>
      </c>
      <c r="D55" s="13" t="s">
        <v>18</v>
      </c>
      <c r="E55" s="13">
        <v>78500</v>
      </c>
      <c r="F55" s="13">
        <v>44</v>
      </c>
      <c r="G55" s="14">
        <f t="shared" si="0"/>
        <v>3454000</v>
      </c>
    </row>
    <row r="56" spans="1:7" x14ac:dyDescent="0.3">
      <c r="A56" s="9">
        <v>44047</v>
      </c>
      <c r="B56" s="10" t="s">
        <v>19</v>
      </c>
      <c r="C56" s="10" t="s">
        <v>20</v>
      </c>
      <c r="D56" s="10" t="s">
        <v>11</v>
      </c>
      <c r="E56" s="10">
        <v>3990</v>
      </c>
      <c r="F56" s="10">
        <v>31</v>
      </c>
      <c r="G56" s="11">
        <f t="shared" si="0"/>
        <v>123690</v>
      </c>
    </row>
    <row r="57" spans="1:7" x14ac:dyDescent="0.3">
      <c r="A57" s="12">
        <v>44051</v>
      </c>
      <c r="B57" s="13" t="s">
        <v>12</v>
      </c>
      <c r="C57" s="13" t="s">
        <v>20</v>
      </c>
      <c r="D57" s="13" t="s">
        <v>18</v>
      </c>
      <c r="E57" s="13">
        <v>52000</v>
      </c>
      <c r="F57" s="13">
        <v>29</v>
      </c>
      <c r="G57" s="14">
        <f t="shared" si="0"/>
        <v>1508000</v>
      </c>
    </row>
    <row r="58" spans="1:7" x14ac:dyDescent="0.3">
      <c r="A58" s="9">
        <v>44055</v>
      </c>
      <c r="B58" s="10" t="s">
        <v>7</v>
      </c>
      <c r="C58" s="10" t="s">
        <v>16</v>
      </c>
      <c r="D58" s="10" t="s">
        <v>18</v>
      </c>
      <c r="E58" s="10">
        <v>13999</v>
      </c>
      <c r="F58" s="10">
        <v>34</v>
      </c>
      <c r="G58" s="11">
        <f t="shared" si="0"/>
        <v>475966</v>
      </c>
    </row>
    <row r="59" spans="1:7" x14ac:dyDescent="0.3">
      <c r="A59" s="12">
        <v>44059</v>
      </c>
      <c r="B59" s="13" t="s">
        <v>10</v>
      </c>
      <c r="C59" s="13" t="s">
        <v>17</v>
      </c>
      <c r="D59" s="13" t="s">
        <v>11</v>
      </c>
      <c r="E59" s="13">
        <v>120</v>
      </c>
      <c r="F59" s="13">
        <v>29</v>
      </c>
      <c r="G59" s="14">
        <f t="shared" si="0"/>
        <v>3480</v>
      </c>
    </row>
    <row r="60" spans="1:7" x14ac:dyDescent="0.3">
      <c r="A60" s="9">
        <v>44063</v>
      </c>
      <c r="B60" s="10" t="s">
        <v>19</v>
      </c>
      <c r="C60" s="10" t="s">
        <v>13</v>
      </c>
      <c r="D60" s="10" t="s">
        <v>11</v>
      </c>
      <c r="E60" s="10">
        <v>23999</v>
      </c>
      <c r="F60" s="10">
        <v>25</v>
      </c>
      <c r="G60" s="11">
        <f t="shared" si="0"/>
        <v>599975</v>
      </c>
    </row>
    <row r="61" spans="1:7" x14ac:dyDescent="0.3">
      <c r="A61" s="12">
        <v>44067</v>
      </c>
      <c r="B61" s="13" t="s">
        <v>19</v>
      </c>
      <c r="C61" s="13" t="s">
        <v>16</v>
      </c>
      <c r="D61" s="13" t="s">
        <v>18</v>
      </c>
      <c r="E61" s="13">
        <v>45000</v>
      </c>
      <c r="F61" s="13">
        <v>31</v>
      </c>
      <c r="G61" s="14">
        <f t="shared" si="0"/>
        <v>1395000</v>
      </c>
    </row>
    <row r="62" spans="1:7" x14ac:dyDescent="0.3">
      <c r="A62" s="9">
        <v>44071</v>
      </c>
      <c r="B62" s="10" t="s">
        <v>10</v>
      </c>
      <c r="C62" s="10" t="s">
        <v>22</v>
      </c>
      <c r="D62" s="10" t="s">
        <v>11</v>
      </c>
      <c r="E62" s="10">
        <v>450</v>
      </c>
      <c r="F62" s="10">
        <v>16</v>
      </c>
      <c r="G62" s="11">
        <f t="shared" si="0"/>
        <v>7200</v>
      </c>
    </row>
    <row r="63" spans="1:7" x14ac:dyDescent="0.3">
      <c r="A63" s="12">
        <v>44075</v>
      </c>
      <c r="B63" s="13" t="s">
        <v>15</v>
      </c>
      <c r="C63" s="13" t="s">
        <v>17</v>
      </c>
      <c r="D63" s="13" t="s">
        <v>18</v>
      </c>
      <c r="E63" s="13">
        <v>65000</v>
      </c>
      <c r="F63" s="13">
        <v>48</v>
      </c>
      <c r="G63" s="14">
        <f t="shared" si="0"/>
        <v>3120000</v>
      </c>
    </row>
    <row r="64" spans="1:7" x14ac:dyDescent="0.3">
      <c r="A64" s="9">
        <v>44079</v>
      </c>
      <c r="B64" s="10" t="s">
        <v>12</v>
      </c>
      <c r="C64" s="10" t="s">
        <v>16</v>
      </c>
      <c r="D64" s="10" t="s">
        <v>21</v>
      </c>
      <c r="E64" s="10">
        <v>35600</v>
      </c>
      <c r="F64" s="10">
        <v>22</v>
      </c>
      <c r="G64" s="11">
        <f t="shared" si="0"/>
        <v>783200</v>
      </c>
    </row>
    <row r="65" spans="1:7" x14ac:dyDescent="0.3">
      <c r="A65" s="12">
        <v>44083</v>
      </c>
      <c r="B65" s="13" t="s">
        <v>23</v>
      </c>
      <c r="C65" s="13" t="s">
        <v>22</v>
      </c>
      <c r="D65" s="13" t="s">
        <v>14</v>
      </c>
      <c r="E65" s="13">
        <v>699</v>
      </c>
      <c r="F65" s="13">
        <v>6</v>
      </c>
      <c r="G65" s="14">
        <f t="shared" si="0"/>
        <v>4194</v>
      </c>
    </row>
    <row r="66" spans="1:7" x14ac:dyDescent="0.3">
      <c r="A66" s="9">
        <v>44087</v>
      </c>
      <c r="B66" s="10" t="s">
        <v>10</v>
      </c>
      <c r="C66" s="10" t="s">
        <v>22</v>
      </c>
      <c r="D66" s="10" t="s">
        <v>11</v>
      </c>
      <c r="E66" s="10">
        <v>990</v>
      </c>
      <c r="F66" s="10">
        <v>12</v>
      </c>
      <c r="G66" s="11">
        <f t="shared" si="0"/>
        <v>11880</v>
      </c>
    </row>
    <row r="67" spans="1:7" x14ac:dyDescent="0.3">
      <c r="A67" s="12">
        <v>44091</v>
      </c>
      <c r="B67" s="13" t="s">
        <v>23</v>
      </c>
      <c r="C67" s="13" t="s">
        <v>16</v>
      </c>
      <c r="D67" s="13" t="s">
        <v>9</v>
      </c>
      <c r="E67" s="13">
        <v>450</v>
      </c>
      <c r="F67" s="13">
        <v>44</v>
      </c>
      <c r="G67" s="14">
        <f t="shared" ref="G67:G130" si="1">E67*F67</f>
        <v>19800</v>
      </c>
    </row>
    <row r="68" spans="1:7" x14ac:dyDescent="0.3">
      <c r="A68" s="9">
        <v>44095</v>
      </c>
      <c r="B68" s="10" t="s">
        <v>23</v>
      </c>
      <c r="C68" s="10" t="s">
        <v>22</v>
      </c>
      <c r="D68" s="10" t="s">
        <v>14</v>
      </c>
      <c r="E68" s="10">
        <v>1499</v>
      </c>
      <c r="F68" s="10">
        <v>15</v>
      </c>
      <c r="G68" s="11">
        <f t="shared" si="1"/>
        <v>22485</v>
      </c>
    </row>
    <row r="69" spans="1:7" x14ac:dyDescent="0.3">
      <c r="A69" s="12">
        <v>44099</v>
      </c>
      <c r="B69" s="13" t="s">
        <v>7</v>
      </c>
      <c r="C69" s="13" t="s">
        <v>8</v>
      </c>
      <c r="D69" s="13" t="s">
        <v>21</v>
      </c>
      <c r="E69" s="13">
        <v>499</v>
      </c>
      <c r="F69" s="13">
        <v>26</v>
      </c>
      <c r="G69" s="14">
        <f t="shared" si="1"/>
        <v>12974</v>
      </c>
    </row>
    <row r="70" spans="1:7" x14ac:dyDescent="0.3">
      <c r="A70" s="9">
        <v>44103</v>
      </c>
      <c r="B70" s="10" t="s">
        <v>12</v>
      </c>
      <c r="C70" s="10" t="s">
        <v>16</v>
      </c>
      <c r="D70" s="10" t="s">
        <v>21</v>
      </c>
      <c r="E70" s="10">
        <v>44000</v>
      </c>
      <c r="F70" s="10">
        <v>16</v>
      </c>
      <c r="G70" s="11">
        <f t="shared" si="1"/>
        <v>704000</v>
      </c>
    </row>
    <row r="71" spans="1:7" x14ac:dyDescent="0.3">
      <c r="A71" s="12">
        <v>44107</v>
      </c>
      <c r="B71" s="13" t="s">
        <v>7</v>
      </c>
      <c r="C71" s="13" t="s">
        <v>8</v>
      </c>
      <c r="D71" s="13" t="s">
        <v>18</v>
      </c>
      <c r="E71" s="13">
        <v>5599</v>
      </c>
      <c r="F71" s="13">
        <v>35</v>
      </c>
      <c r="G71" s="14">
        <f t="shared" si="1"/>
        <v>195965</v>
      </c>
    </row>
    <row r="72" spans="1:7" x14ac:dyDescent="0.3">
      <c r="A72" s="9">
        <v>44111</v>
      </c>
      <c r="B72" s="10" t="s">
        <v>15</v>
      </c>
      <c r="C72" s="10" t="s">
        <v>16</v>
      </c>
      <c r="D72" s="10" t="s">
        <v>9</v>
      </c>
      <c r="E72" s="10">
        <v>54100</v>
      </c>
      <c r="F72" s="10">
        <v>36</v>
      </c>
      <c r="G72" s="11">
        <f t="shared" si="1"/>
        <v>1947600</v>
      </c>
    </row>
    <row r="73" spans="1:7" x14ac:dyDescent="0.3">
      <c r="A73" s="12">
        <v>44115</v>
      </c>
      <c r="B73" s="13" t="s">
        <v>7</v>
      </c>
      <c r="C73" s="13" t="s">
        <v>8</v>
      </c>
      <c r="D73" s="13" t="s">
        <v>14</v>
      </c>
      <c r="E73" s="13">
        <v>2550</v>
      </c>
      <c r="F73" s="13">
        <v>20</v>
      </c>
      <c r="G73" s="14">
        <f t="shared" si="1"/>
        <v>51000</v>
      </c>
    </row>
    <row r="74" spans="1:7" x14ac:dyDescent="0.3">
      <c r="A74" s="9">
        <v>44119</v>
      </c>
      <c r="B74" s="10" t="s">
        <v>10</v>
      </c>
      <c r="C74" s="10" t="s">
        <v>16</v>
      </c>
      <c r="D74" s="10" t="s">
        <v>14</v>
      </c>
      <c r="E74" s="10">
        <v>1450</v>
      </c>
      <c r="F74" s="10">
        <v>47</v>
      </c>
      <c r="G74" s="11">
        <f t="shared" si="1"/>
        <v>68150</v>
      </c>
    </row>
    <row r="75" spans="1:7" x14ac:dyDescent="0.3">
      <c r="A75" s="12">
        <v>44123</v>
      </c>
      <c r="B75" s="13" t="s">
        <v>23</v>
      </c>
      <c r="C75" s="13" t="s">
        <v>22</v>
      </c>
      <c r="D75" s="13" t="s">
        <v>18</v>
      </c>
      <c r="E75" s="13">
        <v>2900</v>
      </c>
      <c r="F75" s="13">
        <v>6</v>
      </c>
      <c r="G75" s="14">
        <f t="shared" si="1"/>
        <v>17400</v>
      </c>
    </row>
    <row r="76" spans="1:7" x14ac:dyDescent="0.3">
      <c r="A76" s="9">
        <v>44127</v>
      </c>
      <c r="B76" s="10" t="s">
        <v>15</v>
      </c>
      <c r="C76" s="10" t="s">
        <v>16</v>
      </c>
      <c r="D76" s="10" t="s">
        <v>21</v>
      </c>
      <c r="E76" s="10">
        <v>65200</v>
      </c>
      <c r="F76" s="10">
        <v>6</v>
      </c>
      <c r="G76" s="11">
        <f t="shared" si="1"/>
        <v>391200</v>
      </c>
    </row>
    <row r="77" spans="1:7" x14ac:dyDescent="0.3">
      <c r="A77" s="12">
        <v>44131</v>
      </c>
      <c r="B77" s="13" t="s">
        <v>10</v>
      </c>
      <c r="C77" s="13" t="s">
        <v>20</v>
      </c>
      <c r="D77" s="13" t="s">
        <v>21</v>
      </c>
      <c r="E77" s="13">
        <v>52000</v>
      </c>
      <c r="F77" s="13">
        <v>41</v>
      </c>
      <c r="G77" s="14">
        <f t="shared" si="1"/>
        <v>2132000</v>
      </c>
    </row>
    <row r="78" spans="1:7" x14ac:dyDescent="0.3">
      <c r="A78" s="9">
        <v>44135</v>
      </c>
      <c r="B78" s="10" t="s">
        <v>12</v>
      </c>
      <c r="C78" s="10" t="s">
        <v>16</v>
      </c>
      <c r="D78" s="10" t="s">
        <v>11</v>
      </c>
      <c r="E78" s="10">
        <v>59000</v>
      </c>
      <c r="F78" s="10">
        <v>29</v>
      </c>
      <c r="G78" s="11">
        <f t="shared" si="1"/>
        <v>1711000</v>
      </c>
    </row>
    <row r="79" spans="1:7" x14ac:dyDescent="0.3">
      <c r="A79" s="12">
        <v>44139</v>
      </c>
      <c r="B79" s="13" t="s">
        <v>19</v>
      </c>
      <c r="C79" s="13" t="s">
        <v>13</v>
      </c>
      <c r="D79" s="13" t="s">
        <v>21</v>
      </c>
      <c r="E79" s="13">
        <v>7999</v>
      </c>
      <c r="F79" s="13">
        <v>31</v>
      </c>
      <c r="G79" s="14">
        <f t="shared" si="1"/>
        <v>247969</v>
      </c>
    </row>
    <row r="80" spans="1:7" x14ac:dyDescent="0.3">
      <c r="A80" s="9">
        <v>44143</v>
      </c>
      <c r="B80" s="10" t="s">
        <v>10</v>
      </c>
      <c r="C80" s="10" t="s">
        <v>17</v>
      </c>
      <c r="D80" s="10" t="s">
        <v>11</v>
      </c>
      <c r="E80" s="10">
        <v>45000</v>
      </c>
      <c r="F80" s="10">
        <v>34</v>
      </c>
      <c r="G80" s="11">
        <f t="shared" si="1"/>
        <v>1530000</v>
      </c>
    </row>
    <row r="81" spans="1:7" x14ac:dyDescent="0.3">
      <c r="A81" s="12">
        <v>44147</v>
      </c>
      <c r="B81" s="13" t="s">
        <v>23</v>
      </c>
      <c r="C81" s="13" t="s">
        <v>22</v>
      </c>
      <c r="D81" s="13" t="s">
        <v>9</v>
      </c>
      <c r="E81" s="13">
        <v>990</v>
      </c>
      <c r="F81" s="13">
        <v>43</v>
      </c>
      <c r="G81" s="14">
        <f t="shared" si="1"/>
        <v>42570</v>
      </c>
    </row>
    <row r="82" spans="1:7" x14ac:dyDescent="0.3">
      <c r="A82" s="9">
        <v>44151</v>
      </c>
      <c r="B82" s="10" t="s">
        <v>19</v>
      </c>
      <c r="C82" s="10" t="s">
        <v>20</v>
      </c>
      <c r="D82" s="10" t="s">
        <v>9</v>
      </c>
      <c r="E82" s="10">
        <v>11999</v>
      </c>
      <c r="F82" s="10">
        <v>37</v>
      </c>
      <c r="G82" s="11">
        <f t="shared" si="1"/>
        <v>443963</v>
      </c>
    </row>
    <row r="83" spans="1:7" x14ac:dyDescent="0.3">
      <c r="A83" s="12">
        <v>44155</v>
      </c>
      <c r="B83" s="13" t="s">
        <v>19</v>
      </c>
      <c r="C83" s="13" t="s">
        <v>13</v>
      </c>
      <c r="D83" s="13" t="s">
        <v>9</v>
      </c>
      <c r="E83" s="13">
        <v>960</v>
      </c>
      <c r="F83" s="13">
        <v>7</v>
      </c>
      <c r="G83" s="14">
        <f t="shared" si="1"/>
        <v>6720</v>
      </c>
    </row>
    <row r="84" spans="1:7" x14ac:dyDescent="0.3">
      <c r="A84" s="9">
        <v>44159</v>
      </c>
      <c r="B84" s="10" t="s">
        <v>10</v>
      </c>
      <c r="C84" s="10" t="s">
        <v>8</v>
      </c>
      <c r="D84" s="10" t="s">
        <v>14</v>
      </c>
      <c r="E84" s="10">
        <v>1450</v>
      </c>
      <c r="F84" s="10">
        <v>19</v>
      </c>
      <c r="G84" s="11">
        <f t="shared" si="1"/>
        <v>27550</v>
      </c>
    </row>
    <row r="85" spans="1:7" x14ac:dyDescent="0.3">
      <c r="A85" s="12">
        <v>44163</v>
      </c>
      <c r="B85" s="13" t="s">
        <v>12</v>
      </c>
      <c r="C85" s="13" t="s">
        <v>16</v>
      </c>
      <c r="D85" s="13" t="s">
        <v>11</v>
      </c>
      <c r="E85" s="13">
        <v>45000</v>
      </c>
      <c r="F85" s="13">
        <v>47</v>
      </c>
      <c r="G85" s="14">
        <f t="shared" si="1"/>
        <v>2115000</v>
      </c>
    </row>
    <row r="86" spans="1:7" x14ac:dyDescent="0.3">
      <c r="A86" s="9">
        <v>44167</v>
      </c>
      <c r="B86" s="10" t="s">
        <v>10</v>
      </c>
      <c r="C86" s="10" t="s">
        <v>22</v>
      </c>
      <c r="D86" s="10" t="s">
        <v>11</v>
      </c>
      <c r="E86" s="10">
        <v>1499</v>
      </c>
      <c r="F86" s="10">
        <v>37</v>
      </c>
      <c r="G86" s="11">
        <f t="shared" si="1"/>
        <v>55463</v>
      </c>
    </row>
    <row r="87" spans="1:7" x14ac:dyDescent="0.3">
      <c r="A87" s="12">
        <v>44171</v>
      </c>
      <c r="B87" s="13" t="s">
        <v>19</v>
      </c>
      <c r="C87" s="13" t="s">
        <v>20</v>
      </c>
      <c r="D87" s="13" t="s">
        <v>14</v>
      </c>
      <c r="E87" s="13">
        <v>79999</v>
      </c>
      <c r="F87" s="13">
        <v>4</v>
      </c>
      <c r="G87" s="14">
        <f t="shared" si="1"/>
        <v>319996</v>
      </c>
    </row>
    <row r="88" spans="1:7" x14ac:dyDescent="0.3">
      <c r="A88" s="9">
        <v>44175</v>
      </c>
      <c r="B88" s="10" t="s">
        <v>15</v>
      </c>
      <c r="C88" s="10" t="s">
        <v>16</v>
      </c>
      <c r="D88" s="10" t="s">
        <v>21</v>
      </c>
      <c r="E88" s="10">
        <v>999</v>
      </c>
      <c r="F88" s="10">
        <v>45</v>
      </c>
      <c r="G88" s="11">
        <f t="shared" si="1"/>
        <v>44955</v>
      </c>
    </row>
    <row r="89" spans="1:7" x14ac:dyDescent="0.3">
      <c r="A89" s="12">
        <v>44179</v>
      </c>
      <c r="B89" s="13" t="s">
        <v>10</v>
      </c>
      <c r="C89" s="13" t="s">
        <v>20</v>
      </c>
      <c r="D89" s="13" t="s">
        <v>9</v>
      </c>
      <c r="E89" s="13">
        <v>52000</v>
      </c>
      <c r="F89" s="13">
        <v>15</v>
      </c>
      <c r="G89" s="14">
        <f t="shared" si="1"/>
        <v>780000</v>
      </c>
    </row>
    <row r="90" spans="1:7" x14ac:dyDescent="0.3">
      <c r="A90" s="9">
        <v>44183</v>
      </c>
      <c r="B90" s="10" t="s">
        <v>12</v>
      </c>
      <c r="C90" s="10" t="s">
        <v>16</v>
      </c>
      <c r="D90" s="10" t="s">
        <v>18</v>
      </c>
      <c r="E90" s="10">
        <v>52000</v>
      </c>
      <c r="F90" s="10">
        <v>39</v>
      </c>
      <c r="G90" s="11">
        <f t="shared" si="1"/>
        <v>2028000</v>
      </c>
    </row>
    <row r="91" spans="1:7" x14ac:dyDescent="0.3">
      <c r="A91" s="12">
        <v>44187</v>
      </c>
      <c r="B91" s="13" t="s">
        <v>19</v>
      </c>
      <c r="C91" s="13" t="s">
        <v>13</v>
      </c>
      <c r="D91" s="13" t="s">
        <v>14</v>
      </c>
      <c r="E91" s="13">
        <v>960</v>
      </c>
      <c r="F91" s="13">
        <v>33</v>
      </c>
      <c r="G91" s="14">
        <f t="shared" si="1"/>
        <v>31680</v>
      </c>
    </row>
    <row r="92" spans="1:7" x14ac:dyDescent="0.3">
      <c r="A92" s="9">
        <v>44191</v>
      </c>
      <c r="B92" s="10" t="s">
        <v>19</v>
      </c>
      <c r="C92" s="10" t="s">
        <v>16</v>
      </c>
      <c r="D92" s="10" t="s">
        <v>18</v>
      </c>
      <c r="E92" s="10">
        <v>19500</v>
      </c>
      <c r="F92" s="10">
        <v>45</v>
      </c>
      <c r="G92" s="11">
        <f t="shared" si="1"/>
        <v>877500</v>
      </c>
    </row>
    <row r="93" spans="1:7" x14ac:dyDescent="0.3">
      <c r="A93" s="12">
        <v>44195</v>
      </c>
      <c r="B93" s="13" t="s">
        <v>19</v>
      </c>
      <c r="C93" s="13" t="s">
        <v>20</v>
      </c>
      <c r="D93" s="13" t="s">
        <v>18</v>
      </c>
      <c r="E93" s="13">
        <v>2999</v>
      </c>
      <c r="F93" s="13">
        <v>33</v>
      </c>
      <c r="G93" s="14">
        <f t="shared" si="1"/>
        <v>98967</v>
      </c>
    </row>
    <row r="94" spans="1:7" x14ac:dyDescent="0.3">
      <c r="A94" s="9">
        <v>44199</v>
      </c>
      <c r="B94" s="10" t="s">
        <v>10</v>
      </c>
      <c r="C94" s="10" t="s">
        <v>13</v>
      </c>
      <c r="D94" s="10" t="s">
        <v>21</v>
      </c>
      <c r="E94" s="10">
        <v>1250</v>
      </c>
      <c r="F94" s="10">
        <v>14</v>
      </c>
      <c r="G94" s="11">
        <f t="shared" si="1"/>
        <v>17500</v>
      </c>
    </row>
    <row r="95" spans="1:7" x14ac:dyDescent="0.3">
      <c r="A95" s="12">
        <v>44203</v>
      </c>
      <c r="B95" s="13" t="s">
        <v>10</v>
      </c>
      <c r="C95" s="13" t="s">
        <v>17</v>
      </c>
      <c r="D95" s="13" t="s">
        <v>9</v>
      </c>
      <c r="E95" s="13">
        <v>120</v>
      </c>
      <c r="F95" s="13">
        <v>41</v>
      </c>
      <c r="G95" s="14">
        <f t="shared" si="1"/>
        <v>4920</v>
      </c>
    </row>
    <row r="96" spans="1:7" x14ac:dyDescent="0.3">
      <c r="A96" s="9">
        <v>44207</v>
      </c>
      <c r="B96" s="10" t="s">
        <v>12</v>
      </c>
      <c r="C96" s="10" t="s">
        <v>8</v>
      </c>
      <c r="D96" s="10" t="s">
        <v>18</v>
      </c>
      <c r="E96" s="10">
        <v>1450</v>
      </c>
      <c r="F96" s="10">
        <v>22</v>
      </c>
      <c r="G96" s="11">
        <f t="shared" si="1"/>
        <v>31900</v>
      </c>
    </row>
    <row r="97" spans="1:7" x14ac:dyDescent="0.3">
      <c r="A97" s="12">
        <v>44211</v>
      </c>
      <c r="B97" s="13" t="s">
        <v>19</v>
      </c>
      <c r="C97" s="13" t="s">
        <v>20</v>
      </c>
      <c r="D97" s="13" t="s">
        <v>9</v>
      </c>
      <c r="E97" s="13">
        <v>89999</v>
      </c>
      <c r="F97" s="13">
        <v>15</v>
      </c>
      <c r="G97" s="14">
        <f t="shared" si="1"/>
        <v>1349985</v>
      </c>
    </row>
    <row r="98" spans="1:7" x14ac:dyDescent="0.3">
      <c r="A98" s="9">
        <v>44215</v>
      </c>
      <c r="B98" s="10" t="s">
        <v>23</v>
      </c>
      <c r="C98" s="10" t="s">
        <v>16</v>
      </c>
      <c r="D98" s="10" t="s">
        <v>14</v>
      </c>
      <c r="E98" s="10">
        <v>1999</v>
      </c>
      <c r="F98" s="10">
        <v>48</v>
      </c>
      <c r="G98" s="11">
        <f t="shared" si="1"/>
        <v>95952</v>
      </c>
    </row>
    <row r="99" spans="1:7" x14ac:dyDescent="0.3">
      <c r="A99" s="12">
        <v>44219</v>
      </c>
      <c r="B99" s="13" t="s">
        <v>23</v>
      </c>
      <c r="C99" s="13" t="s">
        <v>22</v>
      </c>
      <c r="D99" s="13" t="s">
        <v>18</v>
      </c>
      <c r="E99" s="13">
        <v>2900</v>
      </c>
      <c r="F99" s="13">
        <v>49</v>
      </c>
      <c r="G99" s="14">
        <f t="shared" si="1"/>
        <v>142100</v>
      </c>
    </row>
    <row r="100" spans="1:7" x14ac:dyDescent="0.3">
      <c r="A100" s="9">
        <v>44223</v>
      </c>
      <c r="B100" s="10" t="s">
        <v>19</v>
      </c>
      <c r="C100" s="10" t="s">
        <v>20</v>
      </c>
      <c r="D100" s="10" t="s">
        <v>21</v>
      </c>
      <c r="E100" s="10">
        <v>700</v>
      </c>
      <c r="F100" s="10">
        <v>50</v>
      </c>
      <c r="G100" s="11">
        <f t="shared" si="1"/>
        <v>35000</v>
      </c>
    </row>
    <row r="101" spans="1:7" x14ac:dyDescent="0.3">
      <c r="A101" s="12">
        <v>44227</v>
      </c>
      <c r="B101" s="13" t="s">
        <v>15</v>
      </c>
      <c r="C101" s="13" t="s">
        <v>17</v>
      </c>
      <c r="D101" s="13" t="s">
        <v>18</v>
      </c>
      <c r="E101" s="13">
        <v>200</v>
      </c>
      <c r="F101" s="13">
        <v>41</v>
      </c>
      <c r="G101" s="14">
        <f t="shared" si="1"/>
        <v>8200</v>
      </c>
    </row>
    <row r="102" spans="1:7" x14ac:dyDescent="0.3">
      <c r="A102" s="9">
        <v>44231</v>
      </c>
      <c r="B102" s="10" t="s">
        <v>12</v>
      </c>
      <c r="C102" s="10" t="s">
        <v>16</v>
      </c>
      <c r="D102" s="10" t="s">
        <v>11</v>
      </c>
      <c r="E102" s="10">
        <v>49000</v>
      </c>
      <c r="F102" s="10">
        <v>29</v>
      </c>
      <c r="G102" s="11">
        <f t="shared" si="1"/>
        <v>1421000</v>
      </c>
    </row>
    <row r="103" spans="1:7" x14ac:dyDescent="0.3">
      <c r="A103" s="12">
        <v>44235</v>
      </c>
      <c r="B103" s="13" t="s">
        <v>7</v>
      </c>
      <c r="C103" s="13" t="s">
        <v>8</v>
      </c>
      <c r="D103" s="13" t="s">
        <v>21</v>
      </c>
      <c r="E103" s="13">
        <v>5599</v>
      </c>
      <c r="F103" s="13">
        <v>36</v>
      </c>
      <c r="G103" s="14">
        <f t="shared" si="1"/>
        <v>201564</v>
      </c>
    </row>
    <row r="104" spans="1:7" x14ac:dyDescent="0.3">
      <c r="A104" s="9">
        <v>44239</v>
      </c>
      <c r="B104" s="10" t="s">
        <v>15</v>
      </c>
      <c r="C104" s="10" t="s">
        <v>17</v>
      </c>
      <c r="D104" s="10" t="s">
        <v>18</v>
      </c>
      <c r="E104" s="10">
        <v>13500</v>
      </c>
      <c r="F104" s="10">
        <v>39</v>
      </c>
      <c r="G104" s="11">
        <f t="shared" si="1"/>
        <v>526500</v>
      </c>
    </row>
    <row r="105" spans="1:7" x14ac:dyDescent="0.3">
      <c r="A105" s="12">
        <v>44243</v>
      </c>
      <c r="B105" s="13" t="s">
        <v>12</v>
      </c>
      <c r="C105" s="13" t="s">
        <v>20</v>
      </c>
      <c r="D105" s="13" t="s">
        <v>18</v>
      </c>
      <c r="E105" s="13">
        <v>79999</v>
      </c>
      <c r="F105" s="13">
        <v>9</v>
      </c>
      <c r="G105" s="14">
        <f t="shared" si="1"/>
        <v>719991</v>
      </c>
    </row>
    <row r="106" spans="1:7" x14ac:dyDescent="0.3">
      <c r="A106" s="9">
        <v>44247</v>
      </c>
      <c r="B106" s="10" t="s">
        <v>19</v>
      </c>
      <c r="C106" s="10" t="s">
        <v>16</v>
      </c>
      <c r="D106" s="10" t="s">
        <v>14</v>
      </c>
      <c r="E106" s="10">
        <v>75200</v>
      </c>
      <c r="F106" s="10">
        <v>38</v>
      </c>
      <c r="G106" s="11">
        <f t="shared" si="1"/>
        <v>2857600</v>
      </c>
    </row>
    <row r="107" spans="1:7" x14ac:dyDescent="0.3">
      <c r="A107" s="12">
        <v>44251</v>
      </c>
      <c r="B107" s="13" t="s">
        <v>19</v>
      </c>
      <c r="C107" s="13" t="s">
        <v>13</v>
      </c>
      <c r="D107" s="13" t="s">
        <v>9</v>
      </c>
      <c r="E107" s="13">
        <v>550</v>
      </c>
      <c r="F107" s="13">
        <v>25</v>
      </c>
      <c r="G107" s="14">
        <f t="shared" si="1"/>
        <v>13750</v>
      </c>
    </row>
    <row r="108" spans="1:7" x14ac:dyDescent="0.3">
      <c r="A108" s="9">
        <v>44255</v>
      </c>
      <c r="B108" s="10" t="s">
        <v>7</v>
      </c>
      <c r="C108" s="10" t="s">
        <v>8</v>
      </c>
      <c r="D108" s="10" t="s">
        <v>9</v>
      </c>
      <c r="E108" s="10">
        <v>499</v>
      </c>
      <c r="F108" s="10">
        <v>50</v>
      </c>
      <c r="G108" s="11">
        <f t="shared" si="1"/>
        <v>24950</v>
      </c>
    </row>
    <row r="109" spans="1:7" x14ac:dyDescent="0.3">
      <c r="A109" s="12">
        <v>44259</v>
      </c>
      <c r="B109" s="13" t="s">
        <v>7</v>
      </c>
      <c r="C109" s="13" t="s">
        <v>8</v>
      </c>
      <c r="D109" s="13" t="s">
        <v>11</v>
      </c>
      <c r="E109" s="13">
        <v>5599</v>
      </c>
      <c r="F109" s="13">
        <v>33</v>
      </c>
      <c r="G109" s="14">
        <f t="shared" si="1"/>
        <v>184767</v>
      </c>
    </row>
    <row r="110" spans="1:7" x14ac:dyDescent="0.3">
      <c r="A110" s="9">
        <v>44263</v>
      </c>
      <c r="B110" s="10" t="s">
        <v>12</v>
      </c>
      <c r="C110" s="10" t="s">
        <v>13</v>
      </c>
      <c r="D110" s="10" t="s">
        <v>14</v>
      </c>
      <c r="E110" s="10">
        <v>1450</v>
      </c>
      <c r="F110" s="10">
        <v>44</v>
      </c>
      <c r="G110" s="11">
        <f t="shared" si="1"/>
        <v>63800</v>
      </c>
    </row>
    <row r="111" spans="1:7" x14ac:dyDescent="0.3">
      <c r="A111" s="12">
        <v>44267</v>
      </c>
      <c r="B111" s="13" t="s">
        <v>15</v>
      </c>
      <c r="C111" s="13" t="s">
        <v>17</v>
      </c>
      <c r="D111" s="13" t="s">
        <v>9</v>
      </c>
      <c r="E111" s="13">
        <v>999</v>
      </c>
      <c r="F111" s="13">
        <v>31</v>
      </c>
      <c r="G111" s="14">
        <f t="shared" si="1"/>
        <v>30969</v>
      </c>
    </row>
    <row r="112" spans="1:7" x14ac:dyDescent="0.3">
      <c r="A112" s="9">
        <v>44271</v>
      </c>
      <c r="B112" s="10" t="s">
        <v>15</v>
      </c>
      <c r="C112" s="10" t="s">
        <v>17</v>
      </c>
      <c r="D112" s="10" t="s">
        <v>18</v>
      </c>
      <c r="E112" s="10">
        <v>100</v>
      </c>
      <c r="F112" s="10">
        <v>11</v>
      </c>
      <c r="G112" s="11">
        <f t="shared" si="1"/>
        <v>1100</v>
      </c>
    </row>
    <row r="113" spans="1:7" x14ac:dyDescent="0.3">
      <c r="A113" s="12">
        <v>44275</v>
      </c>
      <c r="B113" s="13" t="s">
        <v>12</v>
      </c>
      <c r="C113" s="13" t="s">
        <v>8</v>
      </c>
      <c r="D113" s="13" t="s">
        <v>18</v>
      </c>
      <c r="E113" s="13">
        <v>2550</v>
      </c>
      <c r="F113" s="13">
        <v>48</v>
      </c>
      <c r="G113" s="14">
        <f t="shared" si="1"/>
        <v>122400</v>
      </c>
    </row>
    <row r="114" spans="1:7" x14ac:dyDescent="0.3">
      <c r="A114" s="9">
        <v>44279</v>
      </c>
      <c r="B114" s="10" t="s">
        <v>19</v>
      </c>
      <c r="C114" s="10" t="s">
        <v>20</v>
      </c>
      <c r="D114" s="10" t="s">
        <v>18</v>
      </c>
      <c r="E114" s="10">
        <v>33000</v>
      </c>
      <c r="F114" s="10">
        <v>26</v>
      </c>
      <c r="G114" s="11">
        <f t="shared" si="1"/>
        <v>858000</v>
      </c>
    </row>
    <row r="115" spans="1:7" x14ac:dyDescent="0.3">
      <c r="A115" s="12">
        <v>44283</v>
      </c>
      <c r="B115" s="13" t="s">
        <v>10</v>
      </c>
      <c r="C115" s="13" t="s">
        <v>8</v>
      </c>
      <c r="D115" s="13" t="s">
        <v>14</v>
      </c>
      <c r="E115" s="13">
        <v>800</v>
      </c>
      <c r="F115" s="13">
        <v>39</v>
      </c>
      <c r="G115" s="14">
        <f t="shared" si="1"/>
        <v>31200</v>
      </c>
    </row>
    <row r="116" spans="1:7" x14ac:dyDescent="0.3">
      <c r="A116" s="9">
        <v>44287</v>
      </c>
      <c r="B116" s="10" t="s">
        <v>23</v>
      </c>
      <c r="C116" s="10" t="s">
        <v>22</v>
      </c>
      <c r="D116" s="10" t="s">
        <v>14</v>
      </c>
      <c r="E116" s="10">
        <v>990</v>
      </c>
      <c r="F116" s="10">
        <v>9</v>
      </c>
      <c r="G116" s="11">
        <f t="shared" si="1"/>
        <v>8910</v>
      </c>
    </row>
    <row r="117" spans="1:7" x14ac:dyDescent="0.3">
      <c r="A117" s="12">
        <v>44291</v>
      </c>
      <c r="B117" s="13" t="s">
        <v>7</v>
      </c>
      <c r="C117" s="13" t="s">
        <v>8</v>
      </c>
      <c r="D117" s="13" t="s">
        <v>9</v>
      </c>
      <c r="E117" s="13">
        <v>5599</v>
      </c>
      <c r="F117" s="13">
        <v>41</v>
      </c>
      <c r="G117" s="14">
        <f t="shared" si="1"/>
        <v>229559</v>
      </c>
    </row>
    <row r="118" spans="1:7" x14ac:dyDescent="0.3">
      <c r="A118" s="9">
        <v>44295</v>
      </c>
      <c r="B118" s="10" t="s">
        <v>19</v>
      </c>
      <c r="C118" s="10" t="s">
        <v>20</v>
      </c>
      <c r="D118" s="10" t="s">
        <v>9</v>
      </c>
      <c r="E118" s="10">
        <v>499</v>
      </c>
      <c r="F118" s="10">
        <v>39</v>
      </c>
      <c r="G118" s="11">
        <f t="shared" si="1"/>
        <v>19461</v>
      </c>
    </row>
    <row r="119" spans="1:7" x14ac:dyDescent="0.3">
      <c r="A119" s="12">
        <v>44299</v>
      </c>
      <c r="B119" s="13" t="s">
        <v>23</v>
      </c>
      <c r="C119" s="13" t="s">
        <v>22</v>
      </c>
      <c r="D119" s="13" t="s">
        <v>9</v>
      </c>
      <c r="E119" s="13">
        <v>1999</v>
      </c>
      <c r="F119" s="13">
        <v>4</v>
      </c>
      <c r="G119" s="14">
        <f t="shared" si="1"/>
        <v>7996</v>
      </c>
    </row>
    <row r="120" spans="1:7" x14ac:dyDescent="0.3">
      <c r="A120" s="9">
        <v>44303</v>
      </c>
      <c r="B120" s="10" t="s">
        <v>12</v>
      </c>
      <c r="C120" s="10" t="s">
        <v>17</v>
      </c>
      <c r="D120" s="10" t="s">
        <v>9</v>
      </c>
      <c r="E120" s="10">
        <v>200</v>
      </c>
      <c r="F120" s="10">
        <v>8</v>
      </c>
      <c r="G120" s="11">
        <f t="shared" si="1"/>
        <v>1600</v>
      </c>
    </row>
    <row r="121" spans="1:7" x14ac:dyDescent="0.3">
      <c r="A121" s="12">
        <v>44307</v>
      </c>
      <c r="B121" s="13" t="s">
        <v>23</v>
      </c>
      <c r="C121" s="13" t="s">
        <v>22</v>
      </c>
      <c r="D121" s="13" t="s">
        <v>14</v>
      </c>
      <c r="E121" s="13">
        <v>1499</v>
      </c>
      <c r="F121" s="13">
        <v>27</v>
      </c>
      <c r="G121" s="14">
        <f t="shared" si="1"/>
        <v>40473</v>
      </c>
    </row>
    <row r="122" spans="1:7" x14ac:dyDescent="0.3">
      <c r="A122" s="9">
        <v>44311</v>
      </c>
      <c r="B122" s="10" t="s">
        <v>15</v>
      </c>
      <c r="C122" s="10" t="s">
        <v>17</v>
      </c>
      <c r="D122" s="10" t="s">
        <v>21</v>
      </c>
      <c r="E122" s="10">
        <v>120</v>
      </c>
      <c r="F122" s="10">
        <v>10</v>
      </c>
      <c r="G122" s="11">
        <f t="shared" si="1"/>
        <v>1200</v>
      </c>
    </row>
    <row r="123" spans="1:7" x14ac:dyDescent="0.3">
      <c r="A123" s="12">
        <v>44315</v>
      </c>
      <c r="B123" s="13" t="s">
        <v>10</v>
      </c>
      <c r="C123" s="13" t="s">
        <v>20</v>
      </c>
      <c r="D123" s="13" t="s">
        <v>21</v>
      </c>
      <c r="E123" s="13">
        <v>11999</v>
      </c>
      <c r="F123" s="13">
        <v>17</v>
      </c>
      <c r="G123" s="14">
        <f t="shared" si="1"/>
        <v>203983</v>
      </c>
    </row>
    <row r="124" spans="1:7" x14ac:dyDescent="0.3">
      <c r="A124" s="9">
        <v>44319</v>
      </c>
      <c r="B124" s="10" t="s">
        <v>10</v>
      </c>
      <c r="C124" s="10" t="s">
        <v>20</v>
      </c>
      <c r="D124" s="10" t="s">
        <v>11</v>
      </c>
      <c r="E124" s="10">
        <v>999</v>
      </c>
      <c r="F124" s="10">
        <v>27</v>
      </c>
      <c r="G124" s="11">
        <f t="shared" si="1"/>
        <v>26973</v>
      </c>
    </row>
    <row r="125" spans="1:7" x14ac:dyDescent="0.3">
      <c r="A125" s="12">
        <v>44323</v>
      </c>
      <c r="B125" s="13" t="s">
        <v>12</v>
      </c>
      <c r="C125" s="13" t="s">
        <v>20</v>
      </c>
      <c r="D125" s="13" t="s">
        <v>14</v>
      </c>
      <c r="E125" s="13">
        <v>2999</v>
      </c>
      <c r="F125" s="13">
        <v>43</v>
      </c>
      <c r="G125" s="14">
        <f t="shared" si="1"/>
        <v>128957</v>
      </c>
    </row>
    <row r="126" spans="1:7" x14ac:dyDescent="0.3">
      <c r="A126" s="9">
        <v>44327</v>
      </c>
      <c r="B126" s="10" t="s">
        <v>15</v>
      </c>
      <c r="C126" s="10" t="s">
        <v>16</v>
      </c>
      <c r="D126" s="10" t="s">
        <v>11</v>
      </c>
      <c r="E126" s="10">
        <v>47800</v>
      </c>
      <c r="F126" s="10">
        <v>9</v>
      </c>
      <c r="G126" s="11">
        <f t="shared" si="1"/>
        <v>430200</v>
      </c>
    </row>
    <row r="127" spans="1:7" x14ac:dyDescent="0.3">
      <c r="A127" s="12">
        <v>44331</v>
      </c>
      <c r="B127" s="13" t="s">
        <v>19</v>
      </c>
      <c r="C127" s="13" t="s">
        <v>16</v>
      </c>
      <c r="D127" s="13" t="s">
        <v>9</v>
      </c>
      <c r="E127" s="13">
        <v>22000</v>
      </c>
      <c r="F127" s="13">
        <v>42</v>
      </c>
      <c r="G127" s="14">
        <f t="shared" si="1"/>
        <v>924000</v>
      </c>
    </row>
    <row r="128" spans="1:7" x14ac:dyDescent="0.3">
      <c r="A128" s="9">
        <v>44335</v>
      </c>
      <c r="B128" s="10" t="s">
        <v>19</v>
      </c>
      <c r="C128" s="10" t="s">
        <v>13</v>
      </c>
      <c r="D128" s="10" t="s">
        <v>11</v>
      </c>
      <c r="E128" s="10">
        <v>1250</v>
      </c>
      <c r="F128" s="10">
        <v>6</v>
      </c>
      <c r="G128" s="11">
        <f t="shared" si="1"/>
        <v>7500</v>
      </c>
    </row>
    <row r="129" spans="1:7" x14ac:dyDescent="0.3">
      <c r="A129" s="12">
        <v>44339</v>
      </c>
      <c r="B129" s="13" t="s">
        <v>15</v>
      </c>
      <c r="C129" s="13" t="s">
        <v>17</v>
      </c>
      <c r="D129" s="13" t="s">
        <v>14</v>
      </c>
      <c r="E129" s="13">
        <v>999</v>
      </c>
      <c r="F129" s="13">
        <v>28</v>
      </c>
      <c r="G129" s="14">
        <f t="shared" si="1"/>
        <v>27972</v>
      </c>
    </row>
    <row r="130" spans="1:7" x14ac:dyDescent="0.3">
      <c r="A130" s="9">
        <v>44343</v>
      </c>
      <c r="B130" s="10" t="s">
        <v>19</v>
      </c>
      <c r="C130" s="10" t="s">
        <v>13</v>
      </c>
      <c r="D130" s="10" t="s">
        <v>21</v>
      </c>
      <c r="E130" s="10">
        <v>1450</v>
      </c>
      <c r="F130" s="10">
        <v>13</v>
      </c>
      <c r="G130" s="11">
        <f t="shared" si="1"/>
        <v>18850</v>
      </c>
    </row>
    <row r="131" spans="1:7" x14ac:dyDescent="0.3">
      <c r="A131" s="12">
        <v>44347</v>
      </c>
      <c r="B131" s="13" t="s">
        <v>19</v>
      </c>
      <c r="C131" s="13" t="s">
        <v>13</v>
      </c>
      <c r="D131" s="13" t="s">
        <v>21</v>
      </c>
      <c r="E131" s="13">
        <v>23999</v>
      </c>
      <c r="F131" s="13">
        <v>8</v>
      </c>
      <c r="G131" s="14">
        <f t="shared" ref="G131:G194" si="2">E131*F131</f>
        <v>191992</v>
      </c>
    </row>
    <row r="132" spans="1:7" x14ac:dyDescent="0.3">
      <c r="A132" s="9">
        <v>44351</v>
      </c>
      <c r="B132" s="10" t="s">
        <v>10</v>
      </c>
      <c r="C132" s="10" t="s">
        <v>16</v>
      </c>
      <c r="D132" s="10" t="s">
        <v>21</v>
      </c>
      <c r="E132" s="10">
        <v>92000</v>
      </c>
      <c r="F132" s="10">
        <v>7</v>
      </c>
      <c r="G132" s="11">
        <f t="shared" si="2"/>
        <v>644000</v>
      </c>
    </row>
    <row r="133" spans="1:7" x14ac:dyDescent="0.3">
      <c r="A133" s="12">
        <v>44355</v>
      </c>
      <c r="B133" s="13" t="s">
        <v>23</v>
      </c>
      <c r="C133" s="13" t="s">
        <v>22</v>
      </c>
      <c r="D133" s="13" t="s">
        <v>14</v>
      </c>
      <c r="E133" s="13">
        <v>699</v>
      </c>
      <c r="F133" s="13">
        <v>45</v>
      </c>
      <c r="G133" s="14">
        <f t="shared" si="2"/>
        <v>31455</v>
      </c>
    </row>
    <row r="134" spans="1:7" x14ac:dyDescent="0.3">
      <c r="A134" s="9">
        <v>44359</v>
      </c>
      <c r="B134" s="10" t="s">
        <v>7</v>
      </c>
      <c r="C134" s="10" t="s">
        <v>8</v>
      </c>
      <c r="D134" s="10" t="s">
        <v>9</v>
      </c>
      <c r="E134" s="10">
        <v>2550</v>
      </c>
      <c r="F134" s="10">
        <v>22</v>
      </c>
      <c r="G134" s="11">
        <f t="shared" si="2"/>
        <v>56100</v>
      </c>
    </row>
    <row r="135" spans="1:7" x14ac:dyDescent="0.3">
      <c r="A135" s="12">
        <v>44363</v>
      </c>
      <c r="B135" s="13" t="s">
        <v>12</v>
      </c>
      <c r="C135" s="13" t="s">
        <v>20</v>
      </c>
      <c r="D135" s="13" t="s">
        <v>21</v>
      </c>
      <c r="E135" s="13">
        <v>22000</v>
      </c>
      <c r="F135" s="13">
        <v>4</v>
      </c>
      <c r="G135" s="14">
        <f t="shared" si="2"/>
        <v>88000</v>
      </c>
    </row>
    <row r="136" spans="1:7" x14ac:dyDescent="0.3">
      <c r="A136" s="9">
        <v>44367</v>
      </c>
      <c r="B136" s="10" t="s">
        <v>19</v>
      </c>
      <c r="C136" s="10" t="s">
        <v>20</v>
      </c>
      <c r="D136" s="10" t="s">
        <v>9</v>
      </c>
      <c r="E136" s="10">
        <v>22000</v>
      </c>
      <c r="F136" s="10">
        <v>10</v>
      </c>
      <c r="G136" s="11">
        <f t="shared" si="2"/>
        <v>220000</v>
      </c>
    </row>
    <row r="137" spans="1:7" x14ac:dyDescent="0.3">
      <c r="A137" s="12">
        <v>44371</v>
      </c>
      <c r="B137" s="13" t="s">
        <v>10</v>
      </c>
      <c r="C137" s="13" t="s">
        <v>22</v>
      </c>
      <c r="D137" s="13" t="s">
        <v>14</v>
      </c>
      <c r="E137" s="13">
        <v>1499</v>
      </c>
      <c r="F137" s="13">
        <v>16</v>
      </c>
      <c r="G137" s="14">
        <f t="shared" si="2"/>
        <v>23984</v>
      </c>
    </row>
    <row r="138" spans="1:7" x14ac:dyDescent="0.3">
      <c r="A138" s="9">
        <v>44375</v>
      </c>
      <c r="B138" s="10" t="s">
        <v>15</v>
      </c>
      <c r="C138" s="10" t="s">
        <v>17</v>
      </c>
      <c r="D138" s="10" t="s">
        <v>21</v>
      </c>
      <c r="E138" s="10">
        <v>120</v>
      </c>
      <c r="F138" s="10">
        <v>22</v>
      </c>
      <c r="G138" s="11">
        <f t="shared" si="2"/>
        <v>2640</v>
      </c>
    </row>
    <row r="139" spans="1:7" x14ac:dyDescent="0.3">
      <c r="A139" s="12">
        <v>44379</v>
      </c>
      <c r="B139" s="13" t="s">
        <v>7</v>
      </c>
      <c r="C139" s="13" t="s">
        <v>8</v>
      </c>
      <c r="D139" s="13" t="s">
        <v>11</v>
      </c>
      <c r="E139" s="13">
        <v>1450</v>
      </c>
      <c r="F139" s="13">
        <v>20</v>
      </c>
      <c r="G139" s="14">
        <f t="shared" si="2"/>
        <v>29000</v>
      </c>
    </row>
    <row r="140" spans="1:7" x14ac:dyDescent="0.3">
      <c r="A140" s="9">
        <v>44383</v>
      </c>
      <c r="B140" s="10" t="s">
        <v>23</v>
      </c>
      <c r="C140" s="10" t="s">
        <v>22</v>
      </c>
      <c r="D140" s="10" t="s">
        <v>14</v>
      </c>
      <c r="E140" s="10">
        <v>1999</v>
      </c>
      <c r="F140" s="10">
        <v>23</v>
      </c>
      <c r="G140" s="11">
        <f t="shared" si="2"/>
        <v>45977</v>
      </c>
    </row>
    <row r="141" spans="1:7" x14ac:dyDescent="0.3">
      <c r="A141" s="12">
        <v>44387</v>
      </c>
      <c r="B141" s="13" t="s">
        <v>10</v>
      </c>
      <c r="C141" s="13" t="s">
        <v>8</v>
      </c>
      <c r="D141" s="13" t="s">
        <v>24</v>
      </c>
      <c r="E141" s="13">
        <v>800</v>
      </c>
      <c r="F141" s="13">
        <v>43</v>
      </c>
      <c r="G141" s="14">
        <f t="shared" si="2"/>
        <v>34400</v>
      </c>
    </row>
    <row r="142" spans="1:7" x14ac:dyDescent="0.3">
      <c r="A142" s="9">
        <v>44391</v>
      </c>
      <c r="B142" s="10" t="s">
        <v>15</v>
      </c>
      <c r="C142" s="10" t="s">
        <v>17</v>
      </c>
      <c r="D142" s="10" t="s">
        <v>21</v>
      </c>
      <c r="E142" s="10">
        <v>100</v>
      </c>
      <c r="F142" s="10">
        <v>41</v>
      </c>
      <c r="G142" s="11">
        <f t="shared" si="2"/>
        <v>4100</v>
      </c>
    </row>
    <row r="143" spans="1:7" x14ac:dyDescent="0.3">
      <c r="A143" s="12">
        <v>44395</v>
      </c>
      <c r="B143" s="13" t="s">
        <v>7</v>
      </c>
      <c r="C143" s="13" t="s">
        <v>16</v>
      </c>
      <c r="D143" s="13" t="s">
        <v>21</v>
      </c>
      <c r="E143" s="13">
        <v>13999</v>
      </c>
      <c r="F143" s="13">
        <v>37</v>
      </c>
      <c r="G143" s="14">
        <f t="shared" si="2"/>
        <v>517963</v>
      </c>
    </row>
    <row r="144" spans="1:7" x14ac:dyDescent="0.3">
      <c r="A144" s="9">
        <v>44399</v>
      </c>
      <c r="B144" s="10" t="s">
        <v>12</v>
      </c>
      <c r="C144" s="10" t="s">
        <v>20</v>
      </c>
      <c r="D144" s="10" t="s">
        <v>18</v>
      </c>
      <c r="E144" s="10">
        <v>22000</v>
      </c>
      <c r="F144" s="10">
        <v>45</v>
      </c>
      <c r="G144" s="11">
        <f t="shared" si="2"/>
        <v>990000</v>
      </c>
    </row>
    <row r="145" spans="1:7" x14ac:dyDescent="0.3">
      <c r="A145" s="12">
        <v>44403</v>
      </c>
      <c r="B145" s="13" t="s">
        <v>19</v>
      </c>
      <c r="C145" s="13" t="s">
        <v>20</v>
      </c>
      <c r="D145" s="13" t="s">
        <v>24</v>
      </c>
      <c r="E145" s="13">
        <v>89999</v>
      </c>
      <c r="F145" s="13">
        <v>15</v>
      </c>
      <c r="G145" s="14">
        <f t="shared" si="2"/>
        <v>1349985</v>
      </c>
    </row>
    <row r="146" spans="1:7" x14ac:dyDescent="0.3">
      <c r="A146" s="9">
        <v>44407</v>
      </c>
      <c r="B146" s="10" t="s">
        <v>7</v>
      </c>
      <c r="C146" s="10" t="s">
        <v>8</v>
      </c>
      <c r="D146" s="10" t="s">
        <v>18</v>
      </c>
      <c r="E146" s="10">
        <v>13999</v>
      </c>
      <c r="F146" s="10">
        <v>22</v>
      </c>
      <c r="G146" s="11">
        <f t="shared" si="2"/>
        <v>307978</v>
      </c>
    </row>
    <row r="147" spans="1:7" x14ac:dyDescent="0.3">
      <c r="A147" s="12">
        <v>44411</v>
      </c>
      <c r="B147" s="13" t="s">
        <v>10</v>
      </c>
      <c r="C147" s="13" t="s">
        <v>22</v>
      </c>
      <c r="D147" s="13" t="s">
        <v>14</v>
      </c>
      <c r="E147" s="13">
        <v>2900</v>
      </c>
      <c r="F147" s="13">
        <v>20</v>
      </c>
      <c r="G147" s="14">
        <f t="shared" si="2"/>
        <v>58000</v>
      </c>
    </row>
    <row r="148" spans="1:7" x14ac:dyDescent="0.3">
      <c r="A148" s="9">
        <v>44415</v>
      </c>
      <c r="B148" s="10" t="s">
        <v>19</v>
      </c>
      <c r="C148" s="10" t="s">
        <v>20</v>
      </c>
      <c r="D148" s="10" t="s">
        <v>18</v>
      </c>
      <c r="E148" s="10">
        <v>33000</v>
      </c>
      <c r="F148" s="10">
        <v>16</v>
      </c>
      <c r="G148" s="11">
        <f t="shared" si="2"/>
        <v>528000</v>
      </c>
    </row>
    <row r="149" spans="1:7" x14ac:dyDescent="0.3">
      <c r="A149" s="12">
        <v>44419</v>
      </c>
      <c r="B149" s="13" t="s">
        <v>10</v>
      </c>
      <c r="C149" s="13" t="s">
        <v>20</v>
      </c>
      <c r="D149" s="13" t="s">
        <v>11</v>
      </c>
      <c r="E149" s="13">
        <v>22000</v>
      </c>
      <c r="F149" s="13">
        <v>17</v>
      </c>
      <c r="G149" s="14">
        <f t="shared" si="2"/>
        <v>374000</v>
      </c>
    </row>
    <row r="150" spans="1:7" x14ac:dyDescent="0.3">
      <c r="A150" s="9">
        <v>44423</v>
      </c>
      <c r="B150" s="10" t="s">
        <v>10</v>
      </c>
      <c r="C150" s="10" t="s">
        <v>22</v>
      </c>
      <c r="D150" s="10" t="s">
        <v>11</v>
      </c>
      <c r="E150" s="10">
        <v>45000</v>
      </c>
      <c r="F150" s="10">
        <v>50</v>
      </c>
      <c r="G150" s="11">
        <f t="shared" si="2"/>
        <v>2250000</v>
      </c>
    </row>
    <row r="151" spans="1:7" x14ac:dyDescent="0.3">
      <c r="A151" s="12">
        <v>44427</v>
      </c>
      <c r="B151" s="13" t="s">
        <v>19</v>
      </c>
      <c r="C151" s="13" t="s">
        <v>16</v>
      </c>
      <c r="D151" s="13" t="s">
        <v>14</v>
      </c>
      <c r="E151" s="13">
        <v>499</v>
      </c>
      <c r="F151" s="13">
        <v>4</v>
      </c>
      <c r="G151" s="14">
        <f t="shared" si="2"/>
        <v>1996</v>
      </c>
    </row>
    <row r="152" spans="1:7" x14ac:dyDescent="0.3">
      <c r="A152" s="9">
        <v>44431</v>
      </c>
      <c r="B152" s="10" t="s">
        <v>23</v>
      </c>
      <c r="C152" s="10" t="s">
        <v>22</v>
      </c>
      <c r="D152" s="10" t="s">
        <v>18</v>
      </c>
      <c r="E152" s="10">
        <v>590</v>
      </c>
      <c r="F152" s="10">
        <v>43</v>
      </c>
      <c r="G152" s="11">
        <f t="shared" si="2"/>
        <v>25370</v>
      </c>
    </row>
    <row r="153" spans="1:7" x14ac:dyDescent="0.3">
      <c r="A153" s="12">
        <v>44435</v>
      </c>
      <c r="B153" s="13" t="s">
        <v>12</v>
      </c>
      <c r="C153" s="13" t="s">
        <v>22</v>
      </c>
      <c r="D153" s="13" t="s">
        <v>11</v>
      </c>
      <c r="E153" s="13">
        <v>590</v>
      </c>
      <c r="F153" s="13">
        <v>42</v>
      </c>
      <c r="G153" s="14">
        <f t="shared" si="2"/>
        <v>24780</v>
      </c>
    </row>
    <row r="154" spans="1:7" x14ac:dyDescent="0.3">
      <c r="A154" s="9">
        <v>44439</v>
      </c>
      <c r="B154" s="10" t="s">
        <v>15</v>
      </c>
      <c r="C154" s="10" t="s">
        <v>17</v>
      </c>
      <c r="D154" s="10" t="s">
        <v>9</v>
      </c>
      <c r="E154" s="10">
        <v>12000</v>
      </c>
      <c r="F154" s="10">
        <v>9</v>
      </c>
      <c r="G154" s="11">
        <f t="shared" si="2"/>
        <v>108000</v>
      </c>
    </row>
    <row r="155" spans="1:7" x14ac:dyDescent="0.3">
      <c r="A155" s="12">
        <v>44443</v>
      </c>
      <c r="B155" s="13" t="s">
        <v>19</v>
      </c>
      <c r="C155" s="13" t="s">
        <v>20</v>
      </c>
      <c r="D155" s="13" t="s">
        <v>24</v>
      </c>
      <c r="E155" s="13">
        <v>52000</v>
      </c>
      <c r="F155" s="13">
        <v>40</v>
      </c>
      <c r="G155" s="14">
        <f t="shared" si="2"/>
        <v>2080000</v>
      </c>
    </row>
    <row r="156" spans="1:7" x14ac:dyDescent="0.3">
      <c r="A156" s="9">
        <v>44447</v>
      </c>
      <c r="B156" s="10" t="s">
        <v>19</v>
      </c>
      <c r="C156" s="10" t="s">
        <v>13</v>
      </c>
      <c r="D156" s="10" t="s">
        <v>18</v>
      </c>
      <c r="E156" s="10">
        <v>7999</v>
      </c>
      <c r="F156" s="10">
        <v>14</v>
      </c>
      <c r="G156" s="11">
        <f t="shared" si="2"/>
        <v>111986</v>
      </c>
    </row>
    <row r="157" spans="1:7" x14ac:dyDescent="0.3">
      <c r="A157" s="12">
        <v>44451</v>
      </c>
      <c r="B157" s="13" t="s">
        <v>10</v>
      </c>
      <c r="C157" s="13" t="s">
        <v>13</v>
      </c>
      <c r="D157" s="13" t="s">
        <v>21</v>
      </c>
      <c r="E157" s="13">
        <v>5000</v>
      </c>
      <c r="F157" s="13">
        <v>9</v>
      </c>
      <c r="G157" s="14">
        <f t="shared" si="2"/>
        <v>45000</v>
      </c>
    </row>
    <row r="158" spans="1:7" x14ac:dyDescent="0.3">
      <c r="A158" s="9">
        <v>44455</v>
      </c>
      <c r="B158" s="10" t="s">
        <v>19</v>
      </c>
      <c r="C158" s="10" t="s">
        <v>20</v>
      </c>
      <c r="D158" s="10" t="s">
        <v>18</v>
      </c>
      <c r="E158" s="10">
        <v>79999</v>
      </c>
      <c r="F158" s="10">
        <v>10</v>
      </c>
      <c r="G158" s="11">
        <f t="shared" si="2"/>
        <v>799990</v>
      </c>
    </row>
    <row r="159" spans="1:7" x14ac:dyDescent="0.3">
      <c r="A159" s="12">
        <v>44459</v>
      </c>
      <c r="B159" s="13" t="s">
        <v>23</v>
      </c>
      <c r="C159" s="13" t="s">
        <v>16</v>
      </c>
      <c r="D159" s="13" t="s">
        <v>14</v>
      </c>
      <c r="E159" s="13">
        <v>1999</v>
      </c>
      <c r="F159" s="13">
        <v>37</v>
      </c>
      <c r="G159" s="14">
        <f t="shared" si="2"/>
        <v>73963</v>
      </c>
    </row>
    <row r="160" spans="1:7" x14ac:dyDescent="0.3">
      <c r="A160" s="9">
        <v>44463</v>
      </c>
      <c r="B160" s="10" t="s">
        <v>19</v>
      </c>
      <c r="C160" s="10" t="s">
        <v>20</v>
      </c>
      <c r="D160" s="10" t="s">
        <v>18</v>
      </c>
      <c r="E160" s="10">
        <v>89999</v>
      </c>
      <c r="F160" s="10">
        <v>29</v>
      </c>
      <c r="G160" s="11">
        <f t="shared" si="2"/>
        <v>2609971</v>
      </c>
    </row>
    <row r="161" spans="1:7" x14ac:dyDescent="0.3">
      <c r="A161" s="12">
        <v>44467</v>
      </c>
      <c r="B161" s="13" t="s">
        <v>12</v>
      </c>
      <c r="C161" s="13" t="s">
        <v>20</v>
      </c>
      <c r="D161" s="13" t="s">
        <v>9</v>
      </c>
      <c r="E161" s="13">
        <v>799</v>
      </c>
      <c r="F161" s="13">
        <v>44</v>
      </c>
      <c r="G161" s="14">
        <f t="shared" si="2"/>
        <v>35156</v>
      </c>
    </row>
    <row r="162" spans="1:7" x14ac:dyDescent="0.3">
      <c r="A162" s="9">
        <v>44471</v>
      </c>
      <c r="B162" s="10" t="s">
        <v>19</v>
      </c>
      <c r="C162" s="10" t="s">
        <v>20</v>
      </c>
      <c r="D162" s="10" t="s">
        <v>11</v>
      </c>
      <c r="E162" s="10">
        <v>3990</v>
      </c>
      <c r="F162" s="10">
        <v>31</v>
      </c>
      <c r="G162" s="11">
        <f t="shared" si="2"/>
        <v>123690</v>
      </c>
    </row>
    <row r="163" spans="1:7" x14ac:dyDescent="0.3">
      <c r="A163" s="12">
        <v>44475</v>
      </c>
      <c r="B163" s="13" t="s">
        <v>10</v>
      </c>
      <c r="C163" s="13" t="s">
        <v>20</v>
      </c>
      <c r="D163" s="13" t="s">
        <v>14</v>
      </c>
      <c r="E163" s="13">
        <v>52000</v>
      </c>
      <c r="F163" s="13">
        <v>29</v>
      </c>
      <c r="G163" s="14">
        <f t="shared" si="2"/>
        <v>1508000</v>
      </c>
    </row>
    <row r="164" spans="1:7" x14ac:dyDescent="0.3">
      <c r="A164" s="9">
        <v>44479</v>
      </c>
      <c r="B164" s="10" t="s">
        <v>10</v>
      </c>
      <c r="C164" s="10" t="s">
        <v>8</v>
      </c>
      <c r="D164" s="10" t="s">
        <v>18</v>
      </c>
      <c r="E164" s="10">
        <v>13999</v>
      </c>
      <c r="F164" s="10">
        <v>34</v>
      </c>
      <c r="G164" s="11">
        <f t="shared" si="2"/>
        <v>475966</v>
      </c>
    </row>
    <row r="165" spans="1:7" x14ac:dyDescent="0.3">
      <c r="A165" s="12">
        <v>44483</v>
      </c>
      <c r="B165" s="13" t="s">
        <v>15</v>
      </c>
      <c r="C165" s="13" t="s">
        <v>17</v>
      </c>
      <c r="D165" s="13" t="s">
        <v>14</v>
      </c>
      <c r="E165" s="13">
        <v>14500</v>
      </c>
      <c r="F165" s="13">
        <v>29</v>
      </c>
      <c r="G165" s="14">
        <f t="shared" si="2"/>
        <v>420500</v>
      </c>
    </row>
    <row r="166" spans="1:7" x14ac:dyDescent="0.3">
      <c r="A166" s="9">
        <v>44487</v>
      </c>
      <c r="B166" s="10" t="s">
        <v>19</v>
      </c>
      <c r="C166" s="10" t="s">
        <v>13</v>
      </c>
      <c r="D166" s="10" t="s">
        <v>24</v>
      </c>
      <c r="E166" s="10">
        <v>23999</v>
      </c>
      <c r="F166" s="10">
        <v>25</v>
      </c>
      <c r="G166" s="11">
        <f t="shared" si="2"/>
        <v>599975</v>
      </c>
    </row>
    <row r="167" spans="1:7" x14ac:dyDescent="0.3">
      <c r="A167" s="12">
        <v>44491</v>
      </c>
      <c r="B167" s="13" t="s">
        <v>19</v>
      </c>
      <c r="C167" s="13" t="s">
        <v>13</v>
      </c>
      <c r="D167" s="13" t="s">
        <v>18</v>
      </c>
      <c r="E167" s="13">
        <v>1250</v>
      </c>
      <c r="F167" s="13">
        <v>31</v>
      </c>
      <c r="G167" s="14">
        <f t="shared" si="2"/>
        <v>38750</v>
      </c>
    </row>
    <row r="168" spans="1:7" x14ac:dyDescent="0.3">
      <c r="A168" s="9">
        <v>44495</v>
      </c>
      <c r="B168" s="10" t="s">
        <v>23</v>
      </c>
      <c r="C168" s="10" t="s">
        <v>16</v>
      </c>
      <c r="D168" s="10" t="s">
        <v>18</v>
      </c>
      <c r="E168" s="10">
        <v>35600</v>
      </c>
      <c r="F168" s="10">
        <v>16</v>
      </c>
      <c r="G168" s="11">
        <f t="shared" si="2"/>
        <v>569600</v>
      </c>
    </row>
    <row r="169" spans="1:7" x14ac:dyDescent="0.3">
      <c r="A169" s="12">
        <v>44499</v>
      </c>
      <c r="B169" s="13" t="s">
        <v>15</v>
      </c>
      <c r="C169" s="13" t="s">
        <v>17</v>
      </c>
      <c r="D169" s="13" t="s">
        <v>18</v>
      </c>
      <c r="E169" s="13">
        <v>65000</v>
      </c>
      <c r="F169" s="13">
        <v>48</v>
      </c>
      <c r="G169" s="14">
        <f t="shared" si="2"/>
        <v>3120000</v>
      </c>
    </row>
    <row r="170" spans="1:7" x14ac:dyDescent="0.3">
      <c r="A170" s="9">
        <v>44503</v>
      </c>
      <c r="B170" s="10" t="s">
        <v>12</v>
      </c>
      <c r="C170" s="10" t="s">
        <v>17</v>
      </c>
      <c r="D170" s="10" t="s">
        <v>24</v>
      </c>
      <c r="E170" s="10">
        <v>12000</v>
      </c>
      <c r="F170" s="10">
        <v>22</v>
      </c>
      <c r="G170" s="11">
        <f t="shared" si="2"/>
        <v>264000</v>
      </c>
    </row>
    <row r="171" spans="1:7" x14ac:dyDescent="0.3">
      <c r="A171" s="12">
        <v>44507</v>
      </c>
      <c r="B171" s="13" t="s">
        <v>23</v>
      </c>
      <c r="C171" s="13" t="s">
        <v>22</v>
      </c>
      <c r="D171" s="13" t="s">
        <v>18</v>
      </c>
      <c r="E171" s="13">
        <v>699</v>
      </c>
      <c r="F171" s="13">
        <v>6</v>
      </c>
      <c r="G171" s="14">
        <f t="shared" si="2"/>
        <v>4194</v>
      </c>
    </row>
    <row r="172" spans="1:7" x14ac:dyDescent="0.3">
      <c r="A172" s="9">
        <v>44511</v>
      </c>
      <c r="B172" s="10" t="s">
        <v>23</v>
      </c>
      <c r="C172" s="10" t="s">
        <v>16</v>
      </c>
      <c r="D172" s="10" t="s">
        <v>14</v>
      </c>
      <c r="E172" s="10">
        <v>990</v>
      </c>
      <c r="F172" s="10">
        <v>12</v>
      </c>
      <c r="G172" s="11">
        <f t="shared" si="2"/>
        <v>11880</v>
      </c>
    </row>
    <row r="173" spans="1:7" x14ac:dyDescent="0.3">
      <c r="A173" s="12">
        <v>44515</v>
      </c>
      <c r="B173" s="13" t="s">
        <v>23</v>
      </c>
      <c r="C173" s="13" t="s">
        <v>22</v>
      </c>
      <c r="D173" s="13" t="s">
        <v>9</v>
      </c>
      <c r="E173" s="13">
        <v>450</v>
      </c>
      <c r="F173" s="13">
        <v>44</v>
      </c>
      <c r="G173" s="14">
        <f t="shared" si="2"/>
        <v>19800</v>
      </c>
    </row>
    <row r="174" spans="1:7" x14ac:dyDescent="0.3">
      <c r="A174" s="9">
        <v>44519</v>
      </c>
      <c r="B174" s="10" t="s">
        <v>23</v>
      </c>
      <c r="C174" s="10" t="s">
        <v>16</v>
      </c>
      <c r="D174" s="10" t="s">
        <v>9</v>
      </c>
      <c r="E174" s="10">
        <v>1499</v>
      </c>
      <c r="F174" s="10">
        <v>15</v>
      </c>
      <c r="G174" s="11">
        <f t="shared" si="2"/>
        <v>22485</v>
      </c>
    </row>
    <row r="175" spans="1:7" x14ac:dyDescent="0.3">
      <c r="A175" s="12">
        <v>44523</v>
      </c>
      <c r="B175" s="13" t="s">
        <v>7</v>
      </c>
      <c r="C175" s="13" t="s">
        <v>8</v>
      </c>
      <c r="D175" s="13" t="s">
        <v>21</v>
      </c>
      <c r="E175" s="13">
        <v>499</v>
      </c>
      <c r="F175" s="13">
        <v>26</v>
      </c>
      <c r="G175" s="14">
        <f t="shared" si="2"/>
        <v>12974</v>
      </c>
    </row>
    <row r="176" spans="1:7" x14ac:dyDescent="0.3">
      <c r="A176" s="9">
        <v>44527</v>
      </c>
      <c r="B176" s="10" t="s">
        <v>19</v>
      </c>
      <c r="C176" s="10" t="s">
        <v>13</v>
      </c>
      <c r="D176" s="10" t="s">
        <v>21</v>
      </c>
      <c r="E176" s="10">
        <v>960</v>
      </c>
      <c r="F176" s="10">
        <v>16</v>
      </c>
      <c r="G176" s="11">
        <f t="shared" si="2"/>
        <v>15360</v>
      </c>
    </row>
    <row r="177" spans="1:7" x14ac:dyDescent="0.3">
      <c r="A177" s="12">
        <v>44531</v>
      </c>
      <c r="B177" s="13" t="s">
        <v>12</v>
      </c>
      <c r="C177" s="13" t="s">
        <v>16</v>
      </c>
      <c r="D177" s="13" t="s">
        <v>18</v>
      </c>
      <c r="E177" s="13">
        <v>5599</v>
      </c>
      <c r="F177" s="13">
        <v>35</v>
      </c>
      <c r="G177" s="14">
        <f t="shared" si="2"/>
        <v>195965</v>
      </c>
    </row>
    <row r="178" spans="1:7" x14ac:dyDescent="0.3">
      <c r="A178" s="9">
        <v>44535</v>
      </c>
      <c r="B178" s="10" t="s">
        <v>15</v>
      </c>
      <c r="C178" s="10" t="s">
        <v>17</v>
      </c>
      <c r="D178" s="10" t="s">
        <v>9</v>
      </c>
      <c r="E178" s="10">
        <v>89</v>
      </c>
      <c r="F178" s="10">
        <v>36</v>
      </c>
      <c r="G178" s="11">
        <f t="shared" si="2"/>
        <v>3204</v>
      </c>
    </row>
    <row r="179" spans="1:7" x14ac:dyDescent="0.3">
      <c r="A179" s="12">
        <v>44539</v>
      </c>
      <c r="B179" s="13" t="s">
        <v>7</v>
      </c>
      <c r="C179" s="13" t="s">
        <v>8</v>
      </c>
      <c r="D179" s="13" t="s">
        <v>14</v>
      </c>
      <c r="E179" s="13">
        <v>2550</v>
      </c>
      <c r="F179" s="13">
        <v>20</v>
      </c>
      <c r="G179" s="14">
        <f t="shared" si="2"/>
        <v>51000</v>
      </c>
    </row>
    <row r="180" spans="1:7" x14ac:dyDescent="0.3">
      <c r="A180" s="9">
        <v>44543</v>
      </c>
      <c r="B180" s="10" t="s">
        <v>7</v>
      </c>
      <c r="C180" s="10" t="s">
        <v>8</v>
      </c>
      <c r="D180" s="10" t="s">
        <v>9</v>
      </c>
      <c r="E180" s="10">
        <v>1450</v>
      </c>
      <c r="F180" s="10">
        <v>47</v>
      </c>
      <c r="G180" s="11">
        <f t="shared" si="2"/>
        <v>68150</v>
      </c>
    </row>
    <row r="181" spans="1:7" x14ac:dyDescent="0.3">
      <c r="A181" s="12">
        <v>44547</v>
      </c>
      <c r="B181" s="13" t="s">
        <v>23</v>
      </c>
      <c r="C181" s="13" t="s">
        <v>22</v>
      </c>
      <c r="D181" s="13" t="s">
        <v>18</v>
      </c>
      <c r="E181" s="13">
        <v>2900</v>
      </c>
      <c r="F181" s="13">
        <v>6</v>
      </c>
      <c r="G181" s="14">
        <f t="shared" si="2"/>
        <v>17400</v>
      </c>
    </row>
    <row r="182" spans="1:7" x14ac:dyDescent="0.3">
      <c r="A182" s="9">
        <v>44551</v>
      </c>
      <c r="B182" s="10" t="s">
        <v>15</v>
      </c>
      <c r="C182" s="10" t="s">
        <v>17</v>
      </c>
      <c r="D182" s="10" t="s">
        <v>21</v>
      </c>
      <c r="E182" s="10">
        <v>120</v>
      </c>
      <c r="F182" s="10">
        <v>6</v>
      </c>
      <c r="G182" s="11">
        <f t="shared" si="2"/>
        <v>720</v>
      </c>
    </row>
    <row r="183" spans="1:7" x14ac:dyDescent="0.3">
      <c r="A183" s="12">
        <v>44555</v>
      </c>
      <c r="B183" s="13" t="s">
        <v>19</v>
      </c>
      <c r="C183" s="13" t="s">
        <v>20</v>
      </c>
      <c r="D183" s="13" t="s">
        <v>21</v>
      </c>
      <c r="E183" s="13">
        <v>52000</v>
      </c>
      <c r="F183" s="13">
        <v>41</v>
      </c>
      <c r="G183" s="14">
        <f t="shared" si="2"/>
        <v>2132000</v>
      </c>
    </row>
    <row r="184" spans="1:7" x14ac:dyDescent="0.3">
      <c r="A184" s="9">
        <v>44559</v>
      </c>
      <c r="B184" s="10" t="s">
        <v>23</v>
      </c>
      <c r="C184" s="10" t="s">
        <v>22</v>
      </c>
      <c r="D184" s="10" t="s">
        <v>14</v>
      </c>
      <c r="E184" s="10">
        <v>590</v>
      </c>
      <c r="F184" s="10">
        <v>29</v>
      </c>
      <c r="G184" s="11">
        <f t="shared" si="2"/>
        <v>17110</v>
      </c>
    </row>
    <row r="185" spans="1:7" x14ac:dyDescent="0.3">
      <c r="A185" s="12">
        <v>44563</v>
      </c>
      <c r="B185" s="13" t="s">
        <v>19</v>
      </c>
      <c r="C185" s="13" t="s">
        <v>16</v>
      </c>
      <c r="D185" s="13" t="s">
        <v>24</v>
      </c>
      <c r="E185" s="13">
        <v>7999</v>
      </c>
      <c r="F185" s="13">
        <v>31</v>
      </c>
      <c r="G185" s="14">
        <f t="shared" si="2"/>
        <v>247969</v>
      </c>
    </row>
    <row r="186" spans="1:7" x14ac:dyDescent="0.3">
      <c r="A186" s="9">
        <v>44567</v>
      </c>
      <c r="B186" s="10" t="s">
        <v>10</v>
      </c>
      <c r="C186" s="10" t="s">
        <v>17</v>
      </c>
      <c r="D186" s="10" t="s">
        <v>14</v>
      </c>
      <c r="E186" s="10">
        <v>999</v>
      </c>
      <c r="F186" s="10">
        <v>34</v>
      </c>
      <c r="G186" s="11">
        <f t="shared" si="2"/>
        <v>33966</v>
      </c>
    </row>
    <row r="187" spans="1:7" x14ac:dyDescent="0.3">
      <c r="A187" s="12">
        <v>44571</v>
      </c>
      <c r="B187" s="13" t="s">
        <v>12</v>
      </c>
      <c r="C187" s="13" t="s">
        <v>22</v>
      </c>
      <c r="D187" s="13" t="s">
        <v>9</v>
      </c>
      <c r="E187" s="13">
        <v>990</v>
      </c>
      <c r="F187" s="13">
        <v>43</v>
      </c>
      <c r="G187" s="14">
        <f t="shared" si="2"/>
        <v>42570</v>
      </c>
    </row>
    <row r="188" spans="1:7" x14ac:dyDescent="0.3">
      <c r="A188" s="9">
        <v>44575</v>
      </c>
      <c r="B188" s="10" t="s">
        <v>19</v>
      </c>
      <c r="C188" s="10" t="s">
        <v>20</v>
      </c>
      <c r="D188" s="10" t="s">
        <v>9</v>
      </c>
      <c r="E188" s="10">
        <v>11999</v>
      </c>
      <c r="F188" s="10">
        <v>37</v>
      </c>
      <c r="G188" s="11">
        <f t="shared" si="2"/>
        <v>443963</v>
      </c>
    </row>
    <row r="189" spans="1:7" x14ac:dyDescent="0.3">
      <c r="A189" s="12">
        <v>44579</v>
      </c>
      <c r="B189" s="13" t="s">
        <v>19</v>
      </c>
      <c r="C189" s="13" t="s">
        <v>13</v>
      </c>
      <c r="D189" s="13" t="s">
        <v>9</v>
      </c>
      <c r="E189" s="13">
        <v>960</v>
      </c>
      <c r="F189" s="13">
        <v>7</v>
      </c>
      <c r="G189" s="14">
        <f t="shared" si="2"/>
        <v>6720</v>
      </c>
    </row>
    <row r="190" spans="1:7" x14ac:dyDescent="0.3">
      <c r="A190" s="9">
        <v>44583</v>
      </c>
      <c r="B190" s="10" t="s">
        <v>7</v>
      </c>
      <c r="C190" s="10" t="s">
        <v>8</v>
      </c>
      <c r="D190" s="10" t="s">
        <v>14</v>
      </c>
      <c r="E190" s="10">
        <v>1450</v>
      </c>
      <c r="F190" s="10">
        <v>19</v>
      </c>
      <c r="G190" s="11">
        <f t="shared" si="2"/>
        <v>27550</v>
      </c>
    </row>
    <row r="191" spans="1:7" x14ac:dyDescent="0.3">
      <c r="A191" s="12">
        <v>44587</v>
      </c>
      <c r="B191" s="13" t="s">
        <v>23</v>
      </c>
      <c r="C191" s="13" t="s">
        <v>22</v>
      </c>
      <c r="D191" s="13" t="s">
        <v>11</v>
      </c>
      <c r="E191" s="13">
        <v>450</v>
      </c>
      <c r="F191" s="13">
        <v>47</v>
      </c>
      <c r="G191" s="14">
        <f t="shared" si="2"/>
        <v>21150</v>
      </c>
    </row>
    <row r="192" spans="1:7" x14ac:dyDescent="0.3">
      <c r="A192" s="9">
        <v>44591</v>
      </c>
      <c r="B192" s="10" t="s">
        <v>10</v>
      </c>
      <c r="C192" s="10" t="s">
        <v>22</v>
      </c>
      <c r="D192" s="10" t="s">
        <v>14</v>
      </c>
      <c r="E192" s="10">
        <v>1499</v>
      </c>
      <c r="F192" s="10">
        <v>37</v>
      </c>
      <c r="G192" s="11">
        <f t="shared" si="2"/>
        <v>55463</v>
      </c>
    </row>
    <row r="193" spans="1:7" x14ac:dyDescent="0.3">
      <c r="A193" s="12">
        <v>44595</v>
      </c>
      <c r="B193" s="13" t="s">
        <v>12</v>
      </c>
      <c r="C193" s="13" t="s">
        <v>20</v>
      </c>
      <c r="D193" s="13" t="s">
        <v>11</v>
      </c>
      <c r="E193" s="13">
        <v>79999</v>
      </c>
      <c r="F193" s="13">
        <v>4</v>
      </c>
      <c r="G193" s="14">
        <f t="shared" si="2"/>
        <v>319996</v>
      </c>
    </row>
    <row r="194" spans="1:7" x14ac:dyDescent="0.3">
      <c r="A194" s="9">
        <v>44599</v>
      </c>
      <c r="B194" s="10" t="s">
        <v>12</v>
      </c>
      <c r="C194" s="10" t="s">
        <v>17</v>
      </c>
      <c r="D194" s="10" t="s">
        <v>21</v>
      </c>
      <c r="E194" s="10">
        <v>999</v>
      </c>
      <c r="F194" s="10">
        <v>45</v>
      </c>
      <c r="G194" s="11">
        <f t="shared" si="2"/>
        <v>44955</v>
      </c>
    </row>
    <row r="195" spans="1:7" x14ac:dyDescent="0.3">
      <c r="A195" s="12">
        <v>44603</v>
      </c>
      <c r="B195" s="13" t="s">
        <v>19</v>
      </c>
      <c r="C195" s="13" t="s">
        <v>20</v>
      </c>
      <c r="D195" s="13" t="s">
        <v>9</v>
      </c>
      <c r="E195" s="13">
        <v>52000</v>
      </c>
      <c r="F195" s="13">
        <v>15</v>
      </c>
      <c r="G195" s="14">
        <f t="shared" ref="G195:G258" si="3">E195*F195</f>
        <v>780000</v>
      </c>
    </row>
    <row r="196" spans="1:7" x14ac:dyDescent="0.3">
      <c r="A196" s="9">
        <v>44607</v>
      </c>
      <c r="B196" s="10" t="s">
        <v>19</v>
      </c>
      <c r="C196" s="10" t="s">
        <v>20</v>
      </c>
      <c r="D196" s="10" t="s">
        <v>18</v>
      </c>
      <c r="E196" s="10">
        <v>52000</v>
      </c>
      <c r="F196" s="10">
        <v>39</v>
      </c>
      <c r="G196" s="11">
        <f t="shared" si="3"/>
        <v>2028000</v>
      </c>
    </row>
    <row r="197" spans="1:7" x14ac:dyDescent="0.3">
      <c r="A197" s="12">
        <v>44611</v>
      </c>
      <c r="B197" s="13" t="s">
        <v>19</v>
      </c>
      <c r="C197" s="13" t="s">
        <v>13</v>
      </c>
      <c r="D197" s="13" t="s">
        <v>14</v>
      </c>
      <c r="E197" s="13">
        <v>960</v>
      </c>
      <c r="F197" s="13">
        <v>33</v>
      </c>
      <c r="G197" s="14">
        <f t="shared" si="3"/>
        <v>31680</v>
      </c>
    </row>
    <row r="198" spans="1:7" x14ac:dyDescent="0.3">
      <c r="A198" s="9">
        <v>44615</v>
      </c>
      <c r="B198" s="10" t="s">
        <v>19</v>
      </c>
      <c r="C198" s="10" t="s">
        <v>13</v>
      </c>
      <c r="D198" s="10" t="s">
        <v>14</v>
      </c>
      <c r="E198" s="10">
        <v>1450</v>
      </c>
      <c r="F198" s="10">
        <v>34</v>
      </c>
      <c r="G198" s="11">
        <f t="shared" si="3"/>
        <v>49300</v>
      </c>
    </row>
    <row r="199" spans="1:7" x14ac:dyDescent="0.3">
      <c r="A199" s="12">
        <v>44619</v>
      </c>
      <c r="B199" s="13" t="s">
        <v>19</v>
      </c>
      <c r="C199" s="13" t="s">
        <v>16</v>
      </c>
      <c r="D199" s="13" t="s">
        <v>18</v>
      </c>
      <c r="E199" s="13">
        <v>2999</v>
      </c>
      <c r="F199" s="13">
        <v>33</v>
      </c>
      <c r="G199" s="14">
        <f t="shared" si="3"/>
        <v>98967</v>
      </c>
    </row>
    <row r="200" spans="1:7" x14ac:dyDescent="0.3">
      <c r="A200" s="9">
        <v>44623</v>
      </c>
      <c r="B200" s="10" t="s">
        <v>12</v>
      </c>
      <c r="C200" s="10" t="s">
        <v>13</v>
      </c>
      <c r="D200" s="10" t="s">
        <v>21</v>
      </c>
      <c r="E200" s="10">
        <v>1250</v>
      </c>
      <c r="F200" s="10">
        <v>14</v>
      </c>
      <c r="G200" s="11">
        <f t="shared" si="3"/>
        <v>17500</v>
      </c>
    </row>
    <row r="201" spans="1:7" x14ac:dyDescent="0.3">
      <c r="A201" s="12">
        <v>44627</v>
      </c>
      <c r="B201" s="13" t="s">
        <v>15</v>
      </c>
      <c r="C201" s="13" t="s">
        <v>17</v>
      </c>
      <c r="D201" s="13" t="s">
        <v>9</v>
      </c>
      <c r="E201" s="13">
        <v>120</v>
      </c>
      <c r="F201" s="13">
        <v>41</v>
      </c>
      <c r="G201" s="14">
        <f t="shared" si="3"/>
        <v>4920</v>
      </c>
    </row>
    <row r="202" spans="1:7" x14ac:dyDescent="0.3">
      <c r="A202" s="9">
        <v>44631</v>
      </c>
      <c r="B202" s="10" t="s">
        <v>10</v>
      </c>
      <c r="C202" s="10" t="s">
        <v>8</v>
      </c>
      <c r="D202" s="10" t="s">
        <v>18</v>
      </c>
      <c r="E202" s="10">
        <v>1450</v>
      </c>
      <c r="F202" s="10">
        <v>22</v>
      </c>
      <c r="G202" s="11">
        <f t="shared" si="3"/>
        <v>31900</v>
      </c>
    </row>
    <row r="203" spans="1:7" x14ac:dyDescent="0.3">
      <c r="A203" s="12">
        <v>44635</v>
      </c>
      <c r="B203" s="13" t="s">
        <v>10</v>
      </c>
      <c r="C203" s="13" t="s">
        <v>20</v>
      </c>
      <c r="D203" s="13" t="s">
        <v>9</v>
      </c>
      <c r="E203" s="13">
        <v>89999</v>
      </c>
      <c r="F203" s="13">
        <v>15</v>
      </c>
      <c r="G203" s="14">
        <f t="shared" si="3"/>
        <v>1349985</v>
      </c>
    </row>
    <row r="204" spans="1:7" x14ac:dyDescent="0.3">
      <c r="A204" s="9">
        <v>44639</v>
      </c>
      <c r="B204" s="10" t="s">
        <v>23</v>
      </c>
      <c r="C204" s="10" t="s">
        <v>22</v>
      </c>
      <c r="D204" s="10" t="s">
        <v>14</v>
      </c>
      <c r="E204" s="10">
        <v>1999</v>
      </c>
      <c r="F204" s="10">
        <v>48</v>
      </c>
      <c r="G204" s="11">
        <f t="shared" si="3"/>
        <v>95952</v>
      </c>
    </row>
    <row r="205" spans="1:7" x14ac:dyDescent="0.3">
      <c r="A205" s="12">
        <v>44643</v>
      </c>
      <c r="B205" s="13" t="s">
        <v>23</v>
      </c>
      <c r="C205" s="13" t="s">
        <v>16</v>
      </c>
      <c r="D205" s="13" t="s">
        <v>18</v>
      </c>
      <c r="E205" s="13">
        <v>2900</v>
      </c>
      <c r="F205" s="13">
        <v>49</v>
      </c>
      <c r="G205" s="14">
        <f t="shared" si="3"/>
        <v>142100</v>
      </c>
    </row>
    <row r="206" spans="1:7" x14ac:dyDescent="0.3">
      <c r="A206" s="9">
        <v>44647</v>
      </c>
      <c r="B206" s="10" t="s">
        <v>19</v>
      </c>
      <c r="C206" s="10" t="s">
        <v>20</v>
      </c>
      <c r="D206" s="10" t="s">
        <v>21</v>
      </c>
      <c r="E206" s="10">
        <v>700</v>
      </c>
      <c r="F206" s="10">
        <v>50</v>
      </c>
      <c r="G206" s="11">
        <f t="shared" si="3"/>
        <v>35000</v>
      </c>
    </row>
    <row r="207" spans="1:7" x14ac:dyDescent="0.3">
      <c r="A207" s="12">
        <v>44651</v>
      </c>
      <c r="B207" s="13" t="s">
        <v>15</v>
      </c>
      <c r="C207" s="13" t="s">
        <v>17</v>
      </c>
      <c r="D207" s="13" t="s">
        <v>18</v>
      </c>
      <c r="E207" s="13">
        <v>200</v>
      </c>
      <c r="F207" s="13">
        <v>41</v>
      </c>
      <c r="G207" s="14">
        <f t="shared" si="3"/>
        <v>8200</v>
      </c>
    </row>
    <row r="208" spans="1:7" x14ac:dyDescent="0.3">
      <c r="A208" s="9">
        <v>44655</v>
      </c>
      <c r="B208" s="10" t="s">
        <v>7</v>
      </c>
      <c r="C208" s="10" t="s">
        <v>8</v>
      </c>
      <c r="D208" s="10" t="s">
        <v>14</v>
      </c>
      <c r="E208" s="10">
        <v>499</v>
      </c>
      <c r="F208" s="10">
        <v>29</v>
      </c>
      <c r="G208" s="11">
        <f t="shared" si="3"/>
        <v>14471</v>
      </c>
    </row>
    <row r="209" spans="1:7" x14ac:dyDescent="0.3">
      <c r="A209" s="12">
        <v>44659</v>
      </c>
      <c r="B209" s="13" t="s">
        <v>12</v>
      </c>
      <c r="C209" s="13" t="s">
        <v>8</v>
      </c>
      <c r="D209" s="13" t="s">
        <v>24</v>
      </c>
      <c r="E209" s="13">
        <v>5599</v>
      </c>
      <c r="F209" s="13">
        <v>36</v>
      </c>
      <c r="G209" s="14">
        <f t="shared" si="3"/>
        <v>201564</v>
      </c>
    </row>
    <row r="210" spans="1:7" x14ac:dyDescent="0.3">
      <c r="A210" s="9">
        <v>44663</v>
      </c>
      <c r="B210" s="10" t="s">
        <v>10</v>
      </c>
      <c r="C210" s="10" t="s">
        <v>17</v>
      </c>
      <c r="D210" s="10" t="s">
        <v>18</v>
      </c>
      <c r="E210" s="10">
        <v>100</v>
      </c>
      <c r="F210" s="10">
        <v>39</v>
      </c>
      <c r="G210" s="11">
        <f t="shared" si="3"/>
        <v>3900</v>
      </c>
    </row>
    <row r="211" spans="1:7" x14ac:dyDescent="0.3">
      <c r="A211" s="12">
        <v>44667</v>
      </c>
      <c r="B211" s="13" t="s">
        <v>19</v>
      </c>
      <c r="C211" s="13" t="s">
        <v>16</v>
      </c>
      <c r="D211" s="13" t="s">
        <v>18</v>
      </c>
      <c r="E211" s="13">
        <v>79999</v>
      </c>
      <c r="F211" s="13">
        <v>9</v>
      </c>
      <c r="G211" s="14">
        <f t="shared" si="3"/>
        <v>719991</v>
      </c>
    </row>
    <row r="212" spans="1:7" x14ac:dyDescent="0.3">
      <c r="A212" s="9">
        <v>44671</v>
      </c>
      <c r="B212" s="10" t="s">
        <v>12</v>
      </c>
      <c r="C212" s="10" t="s">
        <v>20</v>
      </c>
      <c r="D212" s="10" t="s">
        <v>14</v>
      </c>
      <c r="E212" s="10">
        <v>700</v>
      </c>
      <c r="F212" s="10">
        <v>38</v>
      </c>
      <c r="G212" s="11">
        <f t="shared" si="3"/>
        <v>26600</v>
      </c>
    </row>
    <row r="213" spans="1:7" x14ac:dyDescent="0.3">
      <c r="A213" s="12">
        <v>44675</v>
      </c>
      <c r="B213" s="13" t="s">
        <v>19</v>
      </c>
      <c r="C213" s="13" t="s">
        <v>13</v>
      </c>
      <c r="D213" s="13" t="s">
        <v>9</v>
      </c>
      <c r="E213" s="13">
        <v>550</v>
      </c>
      <c r="F213" s="13">
        <v>25</v>
      </c>
      <c r="G213" s="14">
        <f t="shared" si="3"/>
        <v>13750</v>
      </c>
    </row>
    <row r="214" spans="1:7" x14ac:dyDescent="0.3">
      <c r="A214" s="9">
        <v>44679</v>
      </c>
      <c r="B214" s="10" t="s">
        <v>23</v>
      </c>
      <c r="C214" s="10" t="s">
        <v>22</v>
      </c>
      <c r="D214" s="10" t="s">
        <v>18</v>
      </c>
      <c r="E214" s="10">
        <v>1499</v>
      </c>
      <c r="F214" s="10">
        <v>16</v>
      </c>
      <c r="G214" s="11">
        <f t="shared" si="3"/>
        <v>23984</v>
      </c>
    </row>
    <row r="215" spans="1:7" x14ac:dyDescent="0.3">
      <c r="A215" s="12">
        <v>44683</v>
      </c>
      <c r="B215" s="13" t="s">
        <v>15</v>
      </c>
      <c r="C215" s="13" t="s">
        <v>17</v>
      </c>
      <c r="D215" s="13" t="s">
        <v>21</v>
      </c>
      <c r="E215" s="13">
        <v>120</v>
      </c>
      <c r="F215" s="13">
        <v>22</v>
      </c>
      <c r="G215" s="14">
        <f t="shared" si="3"/>
        <v>2640</v>
      </c>
    </row>
    <row r="216" spans="1:7" x14ac:dyDescent="0.3">
      <c r="A216" s="9">
        <v>44687</v>
      </c>
      <c r="B216" s="10" t="s">
        <v>7</v>
      </c>
      <c r="C216" s="10" t="s">
        <v>8</v>
      </c>
      <c r="D216" s="10" t="s">
        <v>11</v>
      </c>
      <c r="E216" s="10">
        <v>1450</v>
      </c>
      <c r="F216" s="10">
        <v>20</v>
      </c>
      <c r="G216" s="11">
        <f t="shared" si="3"/>
        <v>29000</v>
      </c>
    </row>
    <row r="217" spans="1:7" x14ac:dyDescent="0.3">
      <c r="A217" s="12">
        <v>44691</v>
      </c>
      <c r="B217" s="13" t="s">
        <v>23</v>
      </c>
      <c r="C217" s="13" t="s">
        <v>16</v>
      </c>
      <c r="D217" s="13" t="s">
        <v>14</v>
      </c>
      <c r="E217" s="13">
        <v>1999</v>
      </c>
      <c r="F217" s="13">
        <v>23</v>
      </c>
      <c r="G217" s="14">
        <f t="shared" si="3"/>
        <v>45977</v>
      </c>
    </row>
    <row r="218" spans="1:7" x14ac:dyDescent="0.3">
      <c r="A218" s="9">
        <v>44695</v>
      </c>
      <c r="B218" s="10" t="s">
        <v>7</v>
      </c>
      <c r="C218" s="10" t="s">
        <v>8</v>
      </c>
      <c r="D218" s="10" t="s">
        <v>18</v>
      </c>
      <c r="E218" s="10">
        <v>800</v>
      </c>
      <c r="F218" s="10">
        <v>43</v>
      </c>
      <c r="G218" s="11">
        <f t="shared" si="3"/>
        <v>34400</v>
      </c>
    </row>
    <row r="219" spans="1:7" x14ac:dyDescent="0.3">
      <c r="A219" s="12">
        <v>44699</v>
      </c>
      <c r="B219" s="13" t="s">
        <v>12</v>
      </c>
      <c r="C219" s="13" t="s">
        <v>17</v>
      </c>
      <c r="D219" s="13" t="s">
        <v>21</v>
      </c>
      <c r="E219" s="13">
        <v>100</v>
      </c>
      <c r="F219" s="13">
        <v>41</v>
      </c>
      <c r="G219" s="14">
        <f t="shared" si="3"/>
        <v>4100</v>
      </c>
    </row>
    <row r="220" spans="1:7" x14ac:dyDescent="0.3">
      <c r="A220" s="9">
        <v>44703</v>
      </c>
      <c r="B220" s="10" t="s">
        <v>7</v>
      </c>
      <c r="C220" s="10" t="s">
        <v>8</v>
      </c>
      <c r="D220" s="10" t="s">
        <v>14</v>
      </c>
      <c r="E220" s="10">
        <v>13999</v>
      </c>
      <c r="F220" s="10">
        <v>37</v>
      </c>
      <c r="G220" s="11">
        <f t="shared" si="3"/>
        <v>517963</v>
      </c>
    </row>
    <row r="221" spans="1:7" x14ac:dyDescent="0.3">
      <c r="A221" s="12">
        <v>44707</v>
      </c>
      <c r="B221" s="13" t="s">
        <v>19</v>
      </c>
      <c r="C221" s="13" t="s">
        <v>20</v>
      </c>
      <c r="D221" s="13" t="s">
        <v>18</v>
      </c>
      <c r="E221" s="13">
        <v>22000</v>
      </c>
      <c r="F221" s="13">
        <v>45</v>
      </c>
      <c r="G221" s="14">
        <f t="shared" si="3"/>
        <v>990000</v>
      </c>
    </row>
    <row r="222" spans="1:7" x14ac:dyDescent="0.3">
      <c r="A222" s="9">
        <v>44711</v>
      </c>
      <c r="B222" s="10" t="s">
        <v>19</v>
      </c>
      <c r="C222" s="10" t="s">
        <v>20</v>
      </c>
      <c r="D222" s="10" t="s">
        <v>24</v>
      </c>
      <c r="E222" s="10">
        <v>89999</v>
      </c>
      <c r="F222" s="10">
        <v>15</v>
      </c>
      <c r="G222" s="11">
        <f t="shared" si="3"/>
        <v>1349985</v>
      </c>
    </row>
    <row r="223" spans="1:7" x14ac:dyDescent="0.3">
      <c r="A223" s="12">
        <v>44715</v>
      </c>
      <c r="B223" s="13" t="s">
        <v>10</v>
      </c>
      <c r="C223" s="13" t="s">
        <v>16</v>
      </c>
      <c r="D223" s="13" t="s">
        <v>18</v>
      </c>
      <c r="E223" s="13">
        <v>13999</v>
      </c>
      <c r="F223" s="13">
        <v>22</v>
      </c>
      <c r="G223" s="14">
        <f t="shared" si="3"/>
        <v>307978</v>
      </c>
    </row>
    <row r="224" spans="1:7" x14ac:dyDescent="0.3">
      <c r="A224" s="9">
        <v>44719</v>
      </c>
      <c r="B224" s="10" t="s">
        <v>12</v>
      </c>
      <c r="C224" s="10" t="s">
        <v>22</v>
      </c>
      <c r="D224" s="10" t="s">
        <v>14</v>
      </c>
      <c r="E224" s="10">
        <v>2900</v>
      </c>
      <c r="F224" s="10">
        <v>20</v>
      </c>
      <c r="G224" s="11">
        <f t="shared" si="3"/>
        <v>58000</v>
      </c>
    </row>
    <row r="225" spans="1:7" x14ac:dyDescent="0.3">
      <c r="A225" s="12">
        <v>44723</v>
      </c>
      <c r="B225" s="13" t="s">
        <v>10</v>
      </c>
      <c r="C225" s="13" t="s">
        <v>20</v>
      </c>
      <c r="D225" s="13" t="s">
        <v>18</v>
      </c>
      <c r="E225" s="13">
        <v>33000</v>
      </c>
      <c r="F225" s="13">
        <v>16</v>
      </c>
      <c r="G225" s="14">
        <f t="shared" si="3"/>
        <v>528000</v>
      </c>
    </row>
    <row r="226" spans="1:7" x14ac:dyDescent="0.3">
      <c r="A226" s="9">
        <v>44727</v>
      </c>
      <c r="B226" s="10" t="s">
        <v>19</v>
      </c>
      <c r="C226" s="10" t="s">
        <v>16</v>
      </c>
      <c r="D226" s="10" t="s">
        <v>11</v>
      </c>
      <c r="E226" s="10">
        <v>22000</v>
      </c>
      <c r="F226" s="10">
        <v>17</v>
      </c>
      <c r="G226" s="11">
        <f t="shared" si="3"/>
        <v>374000</v>
      </c>
    </row>
    <row r="227" spans="1:7" x14ac:dyDescent="0.3">
      <c r="A227" s="12">
        <v>44731</v>
      </c>
      <c r="B227" s="13" t="s">
        <v>23</v>
      </c>
      <c r="C227" s="13" t="s">
        <v>22</v>
      </c>
      <c r="D227" s="13" t="s">
        <v>11</v>
      </c>
      <c r="E227" s="13">
        <v>699</v>
      </c>
      <c r="F227" s="13">
        <v>50</v>
      </c>
      <c r="G227" s="14">
        <f t="shared" si="3"/>
        <v>34950</v>
      </c>
    </row>
    <row r="228" spans="1:7" x14ac:dyDescent="0.3">
      <c r="A228" s="9">
        <v>44735</v>
      </c>
      <c r="B228" s="10" t="s">
        <v>12</v>
      </c>
      <c r="C228" s="10" t="s">
        <v>20</v>
      </c>
      <c r="D228" s="10" t="s">
        <v>14</v>
      </c>
      <c r="E228" s="10">
        <v>499</v>
      </c>
      <c r="F228" s="10">
        <v>4</v>
      </c>
      <c r="G228" s="11">
        <f t="shared" si="3"/>
        <v>1996</v>
      </c>
    </row>
    <row r="229" spans="1:7" x14ac:dyDescent="0.3">
      <c r="A229" s="12">
        <v>44739</v>
      </c>
      <c r="B229" s="13" t="s">
        <v>23</v>
      </c>
      <c r="C229" s="13" t="s">
        <v>22</v>
      </c>
      <c r="D229" s="13" t="s">
        <v>18</v>
      </c>
      <c r="E229" s="13">
        <v>590</v>
      </c>
      <c r="F229" s="13">
        <v>43</v>
      </c>
      <c r="G229" s="14">
        <f t="shared" si="3"/>
        <v>25370</v>
      </c>
    </row>
    <row r="230" spans="1:7" x14ac:dyDescent="0.3">
      <c r="A230" s="9">
        <v>44743</v>
      </c>
      <c r="B230" s="10" t="s">
        <v>23</v>
      </c>
      <c r="C230" s="10" t="s">
        <v>22</v>
      </c>
      <c r="D230" s="10" t="s">
        <v>11</v>
      </c>
      <c r="E230" s="10">
        <v>590</v>
      </c>
      <c r="F230" s="10">
        <v>42</v>
      </c>
      <c r="G230" s="11">
        <f t="shared" si="3"/>
        <v>24780</v>
      </c>
    </row>
    <row r="231" spans="1:7" x14ac:dyDescent="0.3">
      <c r="A231" s="12">
        <v>44747</v>
      </c>
      <c r="B231" s="13" t="s">
        <v>15</v>
      </c>
      <c r="C231" s="13" t="s">
        <v>17</v>
      </c>
      <c r="D231" s="13" t="s">
        <v>9</v>
      </c>
      <c r="E231" s="13">
        <v>120</v>
      </c>
      <c r="F231" s="13">
        <v>9</v>
      </c>
      <c r="G231" s="14">
        <f t="shared" si="3"/>
        <v>1080</v>
      </c>
    </row>
    <row r="232" spans="1:7" x14ac:dyDescent="0.3">
      <c r="A232" s="9">
        <v>44751</v>
      </c>
      <c r="B232" s="10" t="s">
        <v>12</v>
      </c>
      <c r="C232" s="10" t="s">
        <v>20</v>
      </c>
      <c r="D232" s="10" t="s">
        <v>24</v>
      </c>
      <c r="E232" s="10">
        <v>52000</v>
      </c>
      <c r="F232" s="10">
        <v>40</v>
      </c>
      <c r="G232" s="11">
        <f t="shared" si="3"/>
        <v>2080000</v>
      </c>
    </row>
    <row r="233" spans="1:7" x14ac:dyDescent="0.3">
      <c r="A233" s="12">
        <v>44755</v>
      </c>
      <c r="B233" s="13" t="s">
        <v>19</v>
      </c>
      <c r="C233" s="13" t="s">
        <v>16</v>
      </c>
      <c r="D233" s="13" t="s">
        <v>18</v>
      </c>
      <c r="E233" s="13">
        <v>7999</v>
      </c>
      <c r="F233" s="13">
        <v>14</v>
      </c>
      <c r="G233" s="14">
        <f t="shared" si="3"/>
        <v>111986</v>
      </c>
    </row>
    <row r="234" spans="1:7" x14ac:dyDescent="0.3">
      <c r="A234" s="9">
        <v>44759</v>
      </c>
      <c r="B234" s="10" t="s">
        <v>12</v>
      </c>
      <c r="C234" s="10" t="s">
        <v>13</v>
      </c>
      <c r="D234" s="10" t="s">
        <v>21</v>
      </c>
      <c r="E234" s="10">
        <v>550</v>
      </c>
      <c r="F234" s="10">
        <v>9</v>
      </c>
      <c r="G234" s="11">
        <f t="shared" si="3"/>
        <v>4950</v>
      </c>
    </row>
    <row r="235" spans="1:7" x14ac:dyDescent="0.3">
      <c r="A235" s="12">
        <v>44763</v>
      </c>
      <c r="B235" s="13" t="s">
        <v>19</v>
      </c>
      <c r="C235" s="13" t="s">
        <v>20</v>
      </c>
      <c r="D235" s="13" t="s">
        <v>18</v>
      </c>
      <c r="E235" s="13">
        <v>79999</v>
      </c>
      <c r="F235" s="13">
        <v>10</v>
      </c>
      <c r="G235" s="14">
        <f t="shared" si="3"/>
        <v>799990</v>
      </c>
    </row>
    <row r="236" spans="1:7" x14ac:dyDescent="0.3">
      <c r="A236" s="9">
        <v>44767</v>
      </c>
      <c r="B236" s="10" t="s">
        <v>10</v>
      </c>
      <c r="C236" s="10" t="s">
        <v>16</v>
      </c>
      <c r="D236" s="10" t="s">
        <v>11</v>
      </c>
      <c r="E236" s="10">
        <v>1999</v>
      </c>
      <c r="F236" s="10">
        <v>37</v>
      </c>
      <c r="G236" s="11">
        <f t="shared" si="3"/>
        <v>73963</v>
      </c>
    </row>
    <row r="237" spans="1:7" x14ac:dyDescent="0.3">
      <c r="A237" s="12">
        <v>44771</v>
      </c>
      <c r="B237" s="13" t="s">
        <v>12</v>
      </c>
      <c r="C237" s="13" t="s">
        <v>20</v>
      </c>
      <c r="D237" s="13" t="s">
        <v>18</v>
      </c>
      <c r="E237" s="13">
        <v>89999</v>
      </c>
      <c r="F237" s="13">
        <v>29</v>
      </c>
      <c r="G237" s="14">
        <f t="shared" si="3"/>
        <v>2609971</v>
      </c>
    </row>
    <row r="238" spans="1:7" x14ac:dyDescent="0.3">
      <c r="A238" s="9">
        <v>44775</v>
      </c>
      <c r="B238" s="10" t="s">
        <v>19</v>
      </c>
      <c r="C238" s="10" t="s">
        <v>20</v>
      </c>
      <c r="D238" s="10" t="s">
        <v>9</v>
      </c>
      <c r="E238" s="10">
        <v>799</v>
      </c>
      <c r="F238" s="10">
        <v>44</v>
      </c>
      <c r="G238" s="11">
        <f t="shared" si="3"/>
        <v>35156</v>
      </c>
    </row>
    <row r="239" spans="1:7" x14ac:dyDescent="0.3">
      <c r="A239" s="12">
        <v>44779</v>
      </c>
      <c r="B239" s="13" t="s">
        <v>19</v>
      </c>
      <c r="C239" s="13" t="s">
        <v>20</v>
      </c>
      <c r="D239" s="13" t="s">
        <v>24</v>
      </c>
      <c r="E239" s="13">
        <v>3990</v>
      </c>
      <c r="F239" s="13">
        <v>31</v>
      </c>
      <c r="G239" s="14">
        <f t="shared" si="3"/>
        <v>123690</v>
      </c>
    </row>
    <row r="240" spans="1:7" x14ac:dyDescent="0.3">
      <c r="A240" s="9">
        <v>44783</v>
      </c>
      <c r="B240" s="10" t="s">
        <v>12</v>
      </c>
      <c r="C240" s="10" t="s">
        <v>16</v>
      </c>
      <c r="D240" s="10" t="s">
        <v>14</v>
      </c>
      <c r="E240" s="10">
        <v>52000</v>
      </c>
      <c r="F240" s="10">
        <v>29</v>
      </c>
      <c r="G240" s="11">
        <f t="shared" si="3"/>
        <v>1508000</v>
      </c>
    </row>
    <row r="241" spans="1:7" x14ac:dyDescent="0.3">
      <c r="A241" s="12">
        <v>44787</v>
      </c>
      <c r="B241" s="13" t="s">
        <v>7</v>
      </c>
      <c r="C241" s="13" t="s">
        <v>8</v>
      </c>
      <c r="D241" s="13" t="s">
        <v>18</v>
      </c>
      <c r="E241" s="13">
        <v>13999</v>
      </c>
      <c r="F241" s="13">
        <v>34</v>
      </c>
      <c r="G241" s="14">
        <f t="shared" si="3"/>
        <v>475966</v>
      </c>
    </row>
    <row r="242" spans="1:7" x14ac:dyDescent="0.3">
      <c r="A242" s="9">
        <v>44791</v>
      </c>
      <c r="B242" s="10" t="s">
        <v>12</v>
      </c>
      <c r="C242" s="10" t="s">
        <v>17</v>
      </c>
      <c r="D242" s="10" t="s">
        <v>14</v>
      </c>
      <c r="E242" s="10">
        <v>120</v>
      </c>
      <c r="F242" s="10">
        <v>29</v>
      </c>
      <c r="G242" s="11">
        <f t="shared" si="3"/>
        <v>3480</v>
      </c>
    </row>
    <row r="243" spans="1:7" x14ac:dyDescent="0.3">
      <c r="A243" s="12">
        <v>44795</v>
      </c>
      <c r="B243" s="13" t="s">
        <v>19</v>
      </c>
      <c r="C243" s="13" t="s">
        <v>13</v>
      </c>
      <c r="D243" s="13" t="s">
        <v>9</v>
      </c>
      <c r="E243" s="13">
        <v>23999</v>
      </c>
      <c r="F243" s="13">
        <v>25</v>
      </c>
      <c r="G243" s="14">
        <f t="shared" si="3"/>
        <v>599975</v>
      </c>
    </row>
    <row r="244" spans="1:7" x14ac:dyDescent="0.3">
      <c r="A244" s="9">
        <v>44799</v>
      </c>
      <c r="B244" s="10" t="s">
        <v>12</v>
      </c>
      <c r="C244" s="10" t="s">
        <v>13</v>
      </c>
      <c r="D244" s="10" t="s">
        <v>18</v>
      </c>
      <c r="E244" s="10">
        <v>1250</v>
      </c>
      <c r="F244" s="10">
        <v>31</v>
      </c>
      <c r="G244" s="11">
        <f t="shared" si="3"/>
        <v>38750</v>
      </c>
    </row>
    <row r="245" spans="1:7" x14ac:dyDescent="0.3">
      <c r="A245" s="12">
        <v>44803</v>
      </c>
      <c r="B245" s="13" t="s">
        <v>23</v>
      </c>
      <c r="C245" s="13" t="s">
        <v>16</v>
      </c>
      <c r="D245" s="13" t="s">
        <v>18</v>
      </c>
      <c r="E245" s="13">
        <v>45000</v>
      </c>
      <c r="F245" s="13">
        <v>16</v>
      </c>
      <c r="G245" s="14">
        <f t="shared" si="3"/>
        <v>720000</v>
      </c>
    </row>
    <row r="246" spans="1:7" x14ac:dyDescent="0.3">
      <c r="A246" s="9">
        <v>44807</v>
      </c>
      <c r="B246" s="10" t="s">
        <v>10</v>
      </c>
      <c r="C246" s="10" t="s">
        <v>17</v>
      </c>
      <c r="D246" s="10" t="s">
        <v>14</v>
      </c>
      <c r="E246" s="10">
        <v>120</v>
      </c>
      <c r="F246" s="10">
        <v>48</v>
      </c>
      <c r="G246" s="11">
        <f t="shared" si="3"/>
        <v>5760</v>
      </c>
    </row>
    <row r="247" spans="1:7" x14ac:dyDescent="0.3">
      <c r="A247" s="12">
        <v>44811</v>
      </c>
      <c r="B247" s="13" t="s">
        <v>12</v>
      </c>
      <c r="C247" s="13" t="s">
        <v>16</v>
      </c>
      <c r="D247" s="13" t="s">
        <v>21</v>
      </c>
      <c r="E247" s="13">
        <v>25600</v>
      </c>
      <c r="F247" s="13">
        <v>22</v>
      </c>
      <c r="G247" s="14">
        <f t="shared" si="3"/>
        <v>563200</v>
      </c>
    </row>
    <row r="248" spans="1:7" x14ac:dyDescent="0.3">
      <c r="A248" s="9">
        <v>44815</v>
      </c>
      <c r="B248" s="10" t="s">
        <v>23</v>
      </c>
      <c r="C248" s="10" t="s">
        <v>22</v>
      </c>
      <c r="D248" s="10" t="s">
        <v>18</v>
      </c>
      <c r="E248" s="10">
        <v>699</v>
      </c>
      <c r="F248" s="10">
        <v>6</v>
      </c>
      <c r="G248" s="11">
        <f t="shared" si="3"/>
        <v>4194</v>
      </c>
    </row>
    <row r="249" spans="1:7" x14ac:dyDescent="0.3">
      <c r="A249" s="12">
        <v>44819</v>
      </c>
      <c r="B249" s="13" t="s">
        <v>23</v>
      </c>
      <c r="C249" s="13" t="s">
        <v>16</v>
      </c>
      <c r="D249" s="13" t="s">
        <v>14</v>
      </c>
      <c r="E249" s="13">
        <v>99620</v>
      </c>
      <c r="F249" s="13">
        <v>12</v>
      </c>
      <c r="G249" s="14">
        <f t="shared" si="3"/>
        <v>1195440</v>
      </c>
    </row>
    <row r="250" spans="1:7" x14ac:dyDescent="0.3">
      <c r="A250" s="9">
        <v>44823</v>
      </c>
      <c r="B250" s="10" t="s">
        <v>12</v>
      </c>
      <c r="C250" s="10" t="s">
        <v>22</v>
      </c>
      <c r="D250" s="10" t="s">
        <v>24</v>
      </c>
      <c r="E250" s="10">
        <v>450</v>
      </c>
      <c r="F250" s="10">
        <v>44</v>
      </c>
      <c r="G250" s="11">
        <f t="shared" si="3"/>
        <v>19800</v>
      </c>
    </row>
    <row r="251" spans="1:7" x14ac:dyDescent="0.3">
      <c r="A251" s="12">
        <v>44827</v>
      </c>
      <c r="B251" s="13" t="s">
        <v>23</v>
      </c>
      <c r="C251" s="13" t="s">
        <v>22</v>
      </c>
      <c r="D251" s="13" t="s">
        <v>14</v>
      </c>
      <c r="E251" s="13">
        <v>1499</v>
      </c>
      <c r="F251" s="13">
        <v>15</v>
      </c>
      <c r="G251" s="14">
        <f t="shared" si="3"/>
        <v>22485</v>
      </c>
    </row>
    <row r="252" spans="1:7" x14ac:dyDescent="0.3">
      <c r="A252" s="9">
        <v>44831</v>
      </c>
      <c r="B252" s="10" t="s">
        <v>7</v>
      </c>
      <c r="C252" s="10" t="s">
        <v>16</v>
      </c>
      <c r="D252" s="10" t="s">
        <v>21</v>
      </c>
      <c r="E252" s="10">
        <v>49500</v>
      </c>
      <c r="F252" s="10">
        <v>26</v>
      </c>
      <c r="G252" s="11">
        <f t="shared" si="3"/>
        <v>1287000</v>
      </c>
    </row>
    <row r="253" spans="1:7" x14ac:dyDescent="0.3">
      <c r="A253" s="12">
        <v>44835</v>
      </c>
      <c r="B253" s="13" t="s">
        <v>10</v>
      </c>
      <c r="C253" s="13" t="s">
        <v>13</v>
      </c>
      <c r="D253" s="13" t="s">
        <v>21</v>
      </c>
      <c r="E253" s="13">
        <v>960</v>
      </c>
      <c r="F253" s="13">
        <v>16</v>
      </c>
      <c r="G253" s="14">
        <f t="shared" si="3"/>
        <v>15360</v>
      </c>
    </row>
    <row r="254" spans="1:7" x14ac:dyDescent="0.3">
      <c r="A254" s="9">
        <v>44839</v>
      </c>
      <c r="B254" s="10" t="s">
        <v>12</v>
      </c>
      <c r="C254" s="10" t="s">
        <v>8</v>
      </c>
      <c r="D254" s="10" t="s">
        <v>18</v>
      </c>
      <c r="E254" s="10">
        <v>5599</v>
      </c>
      <c r="F254" s="10">
        <v>35</v>
      </c>
      <c r="G254" s="11">
        <f t="shared" si="3"/>
        <v>195965</v>
      </c>
    </row>
    <row r="255" spans="1:7" x14ac:dyDescent="0.3">
      <c r="A255" s="12">
        <v>44843</v>
      </c>
      <c r="B255" s="13" t="s">
        <v>15</v>
      </c>
      <c r="C255" s="13" t="s">
        <v>17</v>
      </c>
      <c r="D255" s="13" t="s">
        <v>9</v>
      </c>
      <c r="E255" s="13">
        <v>89</v>
      </c>
      <c r="F255" s="13">
        <v>36</v>
      </c>
      <c r="G255" s="14">
        <f t="shared" si="3"/>
        <v>3204</v>
      </c>
    </row>
    <row r="256" spans="1:7" x14ac:dyDescent="0.3">
      <c r="A256" s="9">
        <v>44847</v>
      </c>
      <c r="B256" s="10" t="s">
        <v>7</v>
      </c>
      <c r="C256" s="10" t="s">
        <v>8</v>
      </c>
      <c r="D256" s="10" t="s">
        <v>24</v>
      </c>
      <c r="E256" s="10">
        <v>2550</v>
      </c>
      <c r="F256" s="10">
        <v>20</v>
      </c>
      <c r="G256" s="11">
        <f t="shared" si="3"/>
        <v>51000</v>
      </c>
    </row>
    <row r="257" spans="1:7" x14ac:dyDescent="0.3">
      <c r="A257" s="12">
        <v>44851</v>
      </c>
      <c r="B257" s="13" t="s">
        <v>12</v>
      </c>
      <c r="C257" s="13" t="s">
        <v>16</v>
      </c>
      <c r="D257" s="13" t="s">
        <v>9</v>
      </c>
      <c r="E257" s="13">
        <v>14500</v>
      </c>
      <c r="F257" s="13">
        <v>47</v>
      </c>
      <c r="G257" s="14">
        <f t="shared" si="3"/>
        <v>681500</v>
      </c>
    </row>
    <row r="258" spans="1:7" x14ac:dyDescent="0.3">
      <c r="A258" s="9">
        <v>44855</v>
      </c>
      <c r="B258" s="10" t="s">
        <v>23</v>
      </c>
      <c r="C258" s="10" t="s">
        <v>22</v>
      </c>
      <c r="D258" s="10" t="s">
        <v>18</v>
      </c>
      <c r="E258" s="10">
        <v>2900</v>
      </c>
      <c r="F258" s="10">
        <v>6</v>
      </c>
      <c r="G258" s="11">
        <f t="shared" si="3"/>
        <v>17400</v>
      </c>
    </row>
    <row r="259" spans="1:7" x14ac:dyDescent="0.3">
      <c r="A259" s="12">
        <v>44859</v>
      </c>
      <c r="B259" s="13" t="s">
        <v>15</v>
      </c>
      <c r="C259" s="13" t="s">
        <v>17</v>
      </c>
      <c r="D259" s="13" t="s">
        <v>21</v>
      </c>
      <c r="E259" s="13">
        <v>120</v>
      </c>
      <c r="F259" s="13">
        <v>6</v>
      </c>
      <c r="G259" s="14">
        <f t="shared" ref="G259:G279" si="4">E259*F259</f>
        <v>720</v>
      </c>
    </row>
    <row r="260" spans="1:7" x14ac:dyDescent="0.3">
      <c r="A260" s="9">
        <v>44863</v>
      </c>
      <c r="B260" s="10" t="s">
        <v>19</v>
      </c>
      <c r="C260" s="10" t="s">
        <v>16</v>
      </c>
      <c r="D260" s="10" t="s">
        <v>14</v>
      </c>
      <c r="E260" s="10">
        <v>52000</v>
      </c>
      <c r="F260" s="10">
        <v>41</v>
      </c>
      <c r="G260" s="11">
        <f t="shared" si="4"/>
        <v>2132000</v>
      </c>
    </row>
    <row r="261" spans="1:7" x14ac:dyDescent="0.3">
      <c r="A261" s="12">
        <v>44867</v>
      </c>
      <c r="B261" s="13" t="s">
        <v>10</v>
      </c>
      <c r="C261" s="13" t="s">
        <v>22</v>
      </c>
      <c r="D261" s="13" t="s">
        <v>11</v>
      </c>
      <c r="E261" s="13">
        <v>590</v>
      </c>
      <c r="F261" s="13">
        <v>29</v>
      </c>
      <c r="G261" s="14">
        <f t="shared" si="4"/>
        <v>17110</v>
      </c>
    </row>
    <row r="262" spans="1:7" x14ac:dyDescent="0.3">
      <c r="A262" s="9">
        <v>44871</v>
      </c>
      <c r="B262" s="10" t="s">
        <v>19</v>
      </c>
      <c r="C262" s="10" t="s">
        <v>13</v>
      </c>
      <c r="D262" s="10" t="s">
        <v>21</v>
      </c>
      <c r="E262" s="10">
        <v>7999</v>
      </c>
      <c r="F262" s="10">
        <v>31</v>
      </c>
      <c r="G262" s="11">
        <f t="shared" si="4"/>
        <v>247969</v>
      </c>
    </row>
    <row r="263" spans="1:7" x14ac:dyDescent="0.3">
      <c r="A263" s="12">
        <v>44875</v>
      </c>
      <c r="B263" s="13" t="s">
        <v>12</v>
      </c>
      <c r="C263" s="13" t="s">
        <v>17</v>
      </c>
      <c r="D263" s="13" t="s">
        <v>11</v>
      </c>
      <c r="E263" s="13">
        <v>999</v>
      </c>
      <c r="F263" s="13">
        <v>34</v>
      </c>
      <c r="G263" s="14">
        <f t="shared" si="4"/>
        <v>33966</v>
      </c>
    </row>
    <row r="264" spans="1:7" x14ac:dyDescent="0.3">
      <c r="A264" s="9">
        <v>44879</v>
      </c>
      <c r="B264" s="10" t="s">
        <v>23</v>
      </c>
      <c r="C264" s="10" t="s">
        <v>16</v>
      </c>
      <c r="D264" s="10" t="s">
        <v>14</v>
      </c>
      <c r="E264" s="10">
        <v>990</v>
      </c>
      <c r="F264" s="10">
        <v>43</v>
      </c>
      <c r="G264" s="11">
        <f t="shared" si="4"/>
        <v>42570</v>
      </c>
    </row>
    <row r="265" spans="1:7" x14ac:dyDescent="0.3">
      <c r="A265" s="12">
        <v>44883</v>
      </c>
      <c r="B265" s="13" t="s">
        <v>12</v>
      </c>
      <c r="C265" s="13" t="s">
        <v>20</v>
      </c>
      <c r="D265" s="13" t="s">
        <v>9</v>
      </c>
      <c r="E265" s="13">
        <v>11999</v>
      </c>
      <c r="F265" s="13">
        <v>37</v>
      </c>
      <c r="G265" s="14">
        <f t="shared" si="4"/>
        <v>443963</v>
      </c>
    </row>
    <row r="266" spans="1:7" x14ac:dyDescent="0.3">
      <c r="A266" s="9">
        <v>44887</v>
      </c>
      <c r="B266" s="10" t="s">
        <v>10</v>
      </c>
      <c r="C266" s="10" t="s">
        <v>13</v>
      </c>
      <c r="D266" s="10" t="s">
        <v>9</v>
      </c>
      <c r="E266" s="10">
        <v>960</v>
      </c>
      <c r="F266" s="10">
        <v>7</v>
      </c>
      <c r="G266" s="11">
        <f t="shared" si="4"/>
        <v>6720</v>
      </c>
    </row>
    <row r="267" spans="1:7" x14ac:dyDescent="0.3">
      <c r="A267" s="12">
        <v>44891</v>
      </c>
      <c r="B267" s="13" t="s">
        <v>7</v>
      </c>
      <c r="C267" s="13" t="s">
        <v>8</v>
      </c>
      <c r="D267" s="13" t="s">
        <v>14</v>
      </c>
      <c r="E267" s="13">
        <v>1450</v>
      </c>
      <c r="F267" s="13">
        <v>19</v>
      </c>
      <c r="G267" s="14">
        <f t="shared" si="4"/>
        <v>27550</v>
      </c>
    </row>
    <row r="268" spans="1:7" x14ac:dyDescent="0.3">
      <c r="A268" s="9">
        <v>44895</v>
      </c>
      <c r="B268" s="10" t="s">
        <v>23</v>
      </c>
      <c r="C268" s="10" t="s">
        <v>22</v>
      </c>
      <c r="D268" s="10" t="s">
        <v>11</v>
      </c>
      <c r="E268" s="10">
        <v>450</v>
      </c>
      <c r="F268" s="10">
        <v>47</v>
      </c>
      <c r="G268" s="11">
        <f t="shared" si="4"/>
        <v>21150</v>
      </c>
    </row>
    <row r="269" spans="1:7" x14ac:dyDescent="0.3">
      <c r="A269" s="12">
        <v>44899</v>
      </c>
      <c r="B269" s="13" t="s">
        <v>12</v>
      </c>
      <c r="C269" s="13" t="s">
        <v>16</v>
      </c>
      <c r="D269" s="13" t="s">
        <v>11</v>
      </c>
      <c r="E269" s="13">
        <v>1499</v>
      </c>
      <c r="F269" s="13">
        <v>37</v>
      </c>
      <c r="G269" s="14">
        <f t="shared" si="4"/>
        <v>55463</v>
      </c>
    </row>
    <row r="270" spans="1:7" x14ac:dyDescent="0.3">
      <c r="A270" s="9">
        <v>44903</v>
      </c>
      <c r="B270" s="10" t="s">
        <v>19</v>
      </c>
      <c r="C270" s="10" t="s">
        <v>20</v>
      </c>
      <c r="D270" s="10" t="s">
        <v>11</v>
      </c>
      <c r="E270" s="10">
        <v>79999</v>
      </c>
      <c r="F270" s="10">
        <v>4</v>
      </c>
      <c r="G270" s="11">
        <f t="shared" si="4"/>
        <v>319996</v>
      </c>
    </row>
    <row r="271" spans="1:7" x14ac:dyDescent="0.3">
      <c r="A271" s="12">
        <v>44907</v>
      </c>
      <c r="B271" s="13" t="s">
        <v>12</v>
      </c>
      <c r="C271" s="13" t="s">
        <v>17</v>
      </c>
      <c r="D271" s="13" t="s">
        <v>21</v>
      </c>
      <c r="E271" s="13">
        <v>999</v>
      </c>
      <c r="F271" s="13">
        <v>45</v>
      </c>
      <c r="G271" s="14">
        <f t="shared" si="4"/>
        <v>44955</v>
      </c>
    </row>
    <row r="272" spans="1:7" x14ac:dyDescent="0.3">
      <c r="A272" s="9">
        <v>44911</v>
      </c>
      <c r="B272" s="10" t="s">
        <v>19</v>
      </c>
      <c r="C272" s="10" t="s">
        <v>20</v>
      </c>
      <c r="D272" s="10" t="s">
        <v>9</v>
      </c>
      <c r="E272" s="10">
        <v>52000</v>
      </c>
      <c r="F272" s="10">
        <v>15</v>
      </c>
      <c r="G272" s="11">
        <f t="shared" si="4"/>
        <v>780000</v>
      </c>
    </row>
    <row r="273" spans="1:7" x14ac:dyDescent="0.3">
      <c r="A273" s="12">
        <v>44915</v>
      </c>
      <c r="B273" s="13" t="s">
        <v>10</v>
      </c>
      <c r="C273" s="13" t="s">
        <v>20</v>
      </c>
      <c r="D273" s="13" t="s">
        <v>18</v>
      </c>
      <c r="E273" s="13">
        <v>52000</v>
      </c>
      <c r="F273" s="13">
        <v>39</v>
      </c>
      <c r="G273" s="14">
        <f t="shared" si="4"/>
        <v>2028000</v>
      </c>
    </row>
    <row r="274" spans="1:7" x14ac:dyDescent="0.3">
      <c r="A274" s="9">
        <v>44919</v>
      </c>
      <c r="B274" s="10" t="s">
        <v>12</v>
      </c>
      <c r="C274" s="10" t="s">
        <v>13</v>
      </c>
      <c r="D274" s="10" t="s">
        <v>18</v>
      </c>
      <c r="E274" s="10">
        <v>960</v>
      </c>
      <c r="F274" s="10">
        <v>33</v>
      </c>
      <c r="G274" s="11">
        <f t="shared" si="4"/>
        <v>31680</v>
      </c>
    </row>
    <row r="275" spans="1:7" x14ac:dyDescent="0.3">
      <c r="A275" s="15">
        <v>44923</v>
      </c>
      <c r="B275" s="16" t="s">
        <v>19</v>
      </c>
      <c r="C275" s="16" t="s">
        <v>13</v>
      </c>
      <c r="D275" s="16" t="s">
        <v>14</v>
      </c>
      <c r="E275" s="16">
        <v>1450</v>
      </c>
      <c r="F275" s="16">
        <v>34</v>
      </c>
      <c r="G275" s="17">
        <f t="shared" si="4"/>
        <v>49300</v>
      </c>
    </row>
    <row r="276" spans="1:7" x14ac:dyDescent="0.3">
      <c r="A276" s="9">
        <v>44913</v>
      </c>
      <c r="B276" s="10" t="s">
        <v>23</v>
      </c>
      <c r="C276" s="10" t="s">
        <v>22</v>
      </c>
      <c r="D276" s="10" t="s">
        <v>24</v>
      </c>
      <c r="E276" s="10">
        <v>2500</v>
      </c>
      <c r="F276" s="10">
        <v>100</v>
      </c>
      <c r="G276" s="11">
        <f t="shared" si="4"/>
        <v>250000</v>
      </c>
    </row>
    <row r="277" spans="1:7" x14ac:dyDescent="0.3">
      <c r="A277" s="12">
        <v>44917</v>
      </c>
      <c r="B277" s="13" t="s">
        <v>10</v>
      </c>
      <c r="C277" s="13" t="s">
        <v>16</v>
      </c>
      <c r="D277" s="13" t="s">
        <v>24</v>
      </c>
      <c r="E277" s="13">
        <v>86540</v>
      </c>
      <c r="F277" s="13">
        <v>6</v>
      </c>
      <c r="G277" s="14">
        <f t="shared" si="4"/>
        <v>519240</v>
      </c>
    </row>
    <row r="278" spans="1:7" x14ac:dyDescent="0.3">
      <c r="A278" s="9">
        <v>44922</v>
      </c>
      <c r="B278" s="10" t="s">
        <v>15</v>
      </c>
      <c r="C278" s="10" t="s">
        <v>17</v>
      </c>
      <c r="D278" s="10" t="s">
        <v>24</v>
      </c>
      <c r="E278" s="10">
        <v>550</v>
      </c>
      <c r="F278" s="10">
        <v>44</v>
      </c>
      <c r="G278" s="11">
        <f t="shared" si="4"/>
        <v>24200</v>
      </c>
    </row>
    <row r="279" spans="1:7" x14ac:dyDescent="0.3">
      <c r="A279" s="12">
        <v>44925</v>
      </c>
      <c r="B279" s="13" t="s">
        <v>12</v>
      </c>
      <c r="C279" s="13" t="s">
        <v>20</v>
      </c>
      <c r="D279" s="13" t="s">
        <v>24</v>
      </c>
      <c r="E279" s="13">
        <v>65400</v>
      </c>
      <c r="F279" s="13">
        <v>19</v>
      </c>
      <c r="G279" s="14">
        <f t="shared" si="4"/>
        <v>1242600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21"/>
  <sheetViews>
    <sheetView workbookViewId="0">
      <selection activeCell="A98" sqref="A98:B105"/>
    </sheetView>
  </sheetViews>
  <sheetFormatPr defaultRowHeight="16.5" x14ac:dyDescent="0.3"/>
  <cols>
    <col min="1" max="2" width="14.75" customWidth="1"/>
    <col min="3" max="3" width="15" customWidth="1"/>
  </cols>
  <sheetData>
    <row r="1" spans="1:2" x14ac:dyDescent="0.3">
      <c r="A1" s="1" t="s">
        <v>25</v>
      </c>
      <c r="B1" t="s">
        <v>39</v>
      </c>
    </row>
    <row r="2" spans="1:2" x14ac:dyDescent="0.3">
      <c r="A2" s="2" t="s">
        <v>26</v>
      </c>
      <c r="B2" s="6">
        <v>11587825</v>
      </c>
    </row>
    <row r="3" spans="1:2" x14ac:dyDescent="0.3">
      <c r="A3" s="2" t="s">
        <v>27</v>
      </c>
      <c r="B3" s="6">
        <v>9933052</v>
      </c>
    </row>
    <row r="4" spans="1:2" x14ac:dyDescent="0.3">
      <c r="A4" s="2" t="s">
        <v>28</v>
      </c>
      <c r="B4" s="6">
        <v>5651655</v>
      </c>
    </row>
    <row r="5" spans="1:2" x14ac:dyDescent="0.3">
      <c r="A5" s="2" t="s">
        <v>29</v>
      </c>
      <c r="B5" s="6">
        <v>2588013</v>
      </c>
    </row>
    <row r="6" spans="1:2" x14ac:dyDescent="0.3">
      <c r="A6" s="2" t="s">
        <v>30</v>
      </c>
      <c r="B6" s="6">
        <v>8435834</v>
      </c>
    </row>
    <row r="7" spans="1:2" x14ac:dyDescent="0.3">
      <c r="A7" s="2" t="s">
        <v>31</v>
      </c>
      <c r="B7" s="6">
        <v>3751547</v>
      </c>
    </row>
    <row r="8" spans="1:2" x14ac:dyDescent="0.3">
      <c r="A8" s="2" t="s">
        <v>32</v>
      </c>
      <c r="B8" s="6">
        <v>18122063</v>
      </c>
    </row>
    <row r="9" spans="1:2" x14ac:dyDescent="0.3">
      <c r="A9" s="2" t="s">
        <v>33</v>
      </c>
      <c r="B9" s="6">
        <v>10988474</v>
      </c>
    </row>
    <row r="10" spans="1:2" x14ac:dyDescent="0.3">
      <c r="A10" s="2" t="s">
        <v>34</v>
      </c>
      <c r="B10" s="6">
        <v>13532478</v>
      </c>
    </row>
    <row r="11" spans="1:2" x14ac:dyDescent="0.3">
      <c r="A11" s="2" t="s">
        <v>35</v>
      </c>
      <c r="B11" s="6">
        <v>16467945</v>
      </c>
    </row>
    <row r="12" spans="1:2" x14ac:dyDescent="0.3">
      <c r="A12" s="2" t="s">
        <v>36</v>
      </c>
      <c r="B12" s="6">
        <v>5605463</v>
      </c>
    </row>
    <row r="13" spans="1:2" x14ac:dyDescent="0.3">
      <c r="A13" s="2" t="s">
        <v>37</v>
      </c>
      <c r="B13" s="6">
        <v>12067544</v>
      </c>
    </row>
    <row r="14" spans="1:2" x14ac:dyDescent="0.3">
      <c r="A14" s="2" t="s">
        <v>38</v>
      </c>
      <c r="B14" s="6">
        <v>118731893</v>
      </c>
    </row>
    <row r="18" spans="1:2" x14ac:dyDescent="0.3">
      <c r="A18" s="1" t="s">
        <v>25</v>
      </c>
      <c r="B18" t="s">
        <v>39</v>
      </c>
    </row>
    <row r="19" spans="1:2" x14ac:dyDescent="0.3">
      <c r="A19" s="3" t="s">
        <v>14</v>
      </c>
      <c r="B19" s="6">
        <v>16052685</v>
      </c>
    </row>
    <row r="20" spans="1:2" x14ac:dyDescent="0.3">
      <c r="A20" s="3" t="s">
        <v>21</v>
      </c>
      <c r="B20" s="6">
        <v>16926316</v>
      </c>
    </row>
    <row r="21" spans="1:2" x14ac:dyDescent="0.3">
      <c r="A21" s="3" t="s">
        <v>9</v>
      </c>
      <c r="B21" s="6">
        <v>19179514</v>
      </c>
    </row>
    <row r="22" spans="1:2" x14ac:dyDescent="0.3">
      <c r="A22" s="3" t="s">
        <v>24</v>
      </c>
      <c r="B22" s="6">
        <v>10438408</v>
      </c>
    </row>
    <row r="23" spans="1:2" x14ac:dyDescent="0.3">
      <c r="A23" s="3" t="s">
        <v>18</v>
      </c>
      <c r="B23" s="6">
        <v>41054876</v>
      </c>
    </row>
    <row r="24" spans="1:2" x14ac:dyDescent="0.3">
      <c r="A24" s="3" t="s">
        <v>11</v>
      </c>
      <c r="B24" s="6">
        <v>15080094</v>
      </c>
    </row>
    <row r="25" spans="1:2" x14ac:dyDescent="0.3">
      <c r="A25" s="3" t="s">
        <v>38</v>
      </c>
      <c r="B25" s="6">
        <v>118731893</v>
      </c>
    </row>
    <row r="29" spans="1:2" x14ac:dyDescent="0.3">
      <c r="A29" s="1" t="s">
        <v>25</v>
      </c>
      <c r="B29" t="s">
        <v>39</v>
      </c>
    </row>
    <row r="30" spans="1:2" x14ac:dyDescent="0.3">
      <c r="A30" s="3" t="s">
        <v>16</v>
      </c>
      <c r="B30" s="6">
        <v>46830474</v>
      </c>
    </row>
    <row r="31" spans="1:2" x14ac:dyDescent="0.3">
      <c r="A31" s="3" t="s">
        <v>8</v>
      </c>
      <c r="B31" s="6">
        <v>5263843</v>
      </c>
    </row>
    <row r="32" spans="1:2" x14ac:dyDescent="0.3">
      <c r="A32" s="3" t="s">
        <v>20</v>
      </c>
      <c r="B32" s="6">
        <v>48711017</v>
      </c>
    </row>
    <row r="33" spans="1:3" x14ac:dyDescent="0.3">
      <c r="A33" s="3" t="s">
        <v>13</v>
      </c>
      <c r="B33" s="6">
        <v>3523539</v>
      </c>
    </row>
    <row r="34" spans="1:3" x14ac:dyDescent="0.3">
      <c r="A34" s="3" t="s">
        <v>17</v>
      </c>
      <c r="B34" s="6">
        <v>10414063</v>
      </c>
    </row>
    <row r="35" spans="1:3" x14ac:dyDescent="0.3">
      <c r="A35" s="3" t="s">
        <v>22</v>
      </c>
      <c r="B35" s="6">
        <v>3988957</v>
      </c>
    </row>
    <row r="36" spans="1:3" x14ac:dyDescent="0.3">
      <c r="A36" s="3" t="s">
        <v>38</v>
      </c>
      <c r="B36" s="6">
        <v>118731893</v>
      </c>
    </row>
    <row r="39" spans="1:3" x14ac:dyDescent="0.3">
      <c r="A39" t="s">
        <v>39</v>
      </c>
    </row>
    <row r="40" spans="1:3" x14ac:dyDescent="0.3">
      <c r="A40" s="7">
        <v>118731893</v>
      </c>
      <c r="C40" s="7">
        <f>GETPIVOTDATA("Amount",$A$39)</f>
        <v>118731893</v>
      </c>
    </row>
    <row r="43" spans="1:3" x14ac:dyDescent="0.3">
      <c r="A43" t="s">
        <v>40</v>
      </c>
    </row>
    <row r="44" spans="1:3" x14ac:dyDescent="0.3">
      <c r="A44" s="7">
        <v>278</v>
      </c>
      <c r="C44" s="7">
        <f>GETPIVOTDATA("Amount",$A$43)</f>
        <v>278</v>
      </c>
    </row>
    <row r="45" spans="1:3" x14ac:dyDescent="0.3">
      <c r="C45" s="5"/>
    </row>
    <row r="47" spans="1:3" x14ac:dyDescent="0.3">
      <c r="A47" s="1" t="s">
        <v>25</v>
      </c>
      <c r="B47" t="s">
        <v>39</v>
      </c>
    </row>
    <row r="48" spans="1:3" x14ac:dyDescent="0.3">
      <c r="A48" s="3" t="s">
        <v>16</v>
      </c>
      <c r="B48" s="6">
        <v>46830474</v>
      </c>
    </row>
    <row r="49" spans="1:2" x14ac:dyDescent="0.3">
      <c r="A49" s="3" t="s">
        <v>20</v>
      </c>
      <c r="B49" s="6">
        <v>48711017</v>
      </c>
    </row>
    <row r="50" spans="1:2" x14ac:dyDescent="0.3">
      <c r="A50" s="3" t="s">
        <v>17</v>
      </c>
      <c r="B50" s="6">
        <v>10414063</v>
      </c>
    </row>
    <row r="51" spans="1:2" x14ac:dyDescent="0.3">
      <c r="A51" s="3" t="s">
        <v>38</v>
      </c>
      <c r="B51" s="6">
        <v>105955554</v>
      </c>
    </row>
    <row r="55" spans="1:2" x14ac:dyDescent="0.3">
      <c r="A55" s="1" t="s">
        <v>25</v>
      </c>
      <c r="B55" t="s">
        <v>39</v>
      </c>
    </row>
    <row r="56" spans="1:2" x14ac:dyDescent="0.3">
      <c r="A56" s="3" t="s">
        <v>8</v>
      </c>
      <c r="B56" s="6">
        <v>5263843</v>
      </c>
    </row>
    <row r="57" spans="1:2" x14ac:dyDescent="0.3">
      <c r="A57" s="3" t="s">
        <v>13</v>
      </c>
      <c r="B57" s="6">
        <v>3523539</v>
      </c>
    </row>
    <row r="58" spans="1:2" x14ac:dyDescent="0.3">
      <c r="A58" s="3" t="s">
        <v>22</v>
      </c>
      <c r="B58" s="6">
        <v>3988957</v>
      </c>
    </row>
    <row r="59" spans="1:2" x14ac:dyDescent="0.3">
      <c r="A59" s="3" t="s">
        <v>38</v>
      </c>
      <c r="B59" s="6">
        <v>12776339</v>
      </c>
    </row>
    <row r="63" spans="1:2" x14ac:dyDescent="0.3">
      <c r="A63" s="3"/>
      <c r="B63" s="4"/>
    </row>
    <row r="64" spans="1:2" x14ac:dyDescent="0.3">
      <c r="A64" s="3"/>
      <c r="B64" s="4"/>
    </row>
    <row r="65" spans="1:2" x14ac:dyDescent="0.3">
      <c r="A65" s="3"/>
      <c r="B65" s="4"/>
    </row>
    <row r="67" spans="1:2" x14ac:dyDescent="0.3">
      <c r="A67" s="1" t="s">
        <v>25</v>
      </c>
      <c r="B67" t="s">
        <v>41</v>
      </c>
    </row>
    <row r="68" spans="1:2" x14ac:dyDescent="0.3">
      <c r="A68" s="3" t="s">
        <v>16</v>
      </c>
      <c r="B68" s="6">
        <v>1503</v>
      </c>
    </row>
    <row r="69" spans="1:2" x14ac:dyDescent="0.3">
      <c r="A69" s="3" t="s">
        <v>8</v>
      </c>
      <c r="B69" s="6">
        <v>1233</v>
      </c>
    </row>
    <row r="70" spans="1:2" x14ac:dyDescent="0.3">
      <c r="A70" s="3" t="s">
        <v>20</v>
      </c>
      <c r="B70" s="6">
        <v>1615</v>
      </c>
    </row>
    <row r="71" spans="1:2" x14ac:dyDescent="0.3">
      <c r="A71" s="3" t="s">
        <v>13</v>
      </c>
      <c r="B71" s="6">
        <v>694</v>
      </c>
    </row>
    <row r="72" spans="1:2" x14ac:dyDescent="0.3">
      <c r="A72" s="3" t="s">
        <v>17</v>
      </c>
      <c r="B72" s="6">
        <v>1168</v>
      </c>
    </row>
    <row r="73" spans="1:2" x14ac:dyDescent="0.3">
      <c r="A73" s="3" t="s">
        <v>22</v>
      </c>
      <c r="B73" s="6">
        <v>1457</v>
      </c>
    </row>
    <row r="74" spans="1:2" x14ac:dyDescent="0.3">
      <c r="A74" s="3" t="s">
        <v>38</v>
      </c>
      <c r="B74" s="6">
        <v>7670</v>
      </c>
    </row>
    <row r="80" spans="1:2" x14ac:dyDescent="0.3">
      <c r="A80" s="3"/>
    </row>
    <row r="81" spans="1:2" x14ac:dyDescent="0.3">
      <c r="A81" s="3"/>
    </row>
    <row r="82" spans="1:2" x14ac:dyDescent="0.3">
      <c r="A82" s="1" t="s">
        <v>25</v>
      </c>
      <c r="B82" t="s">
        <v>41</v>
      </c>
    </row>
    <row r="83" spans="1:2" x14ac:dyDescent="0.3">
      <c r="A83" s="3" t="s">
        <v>19</v>
      </c>
      <c r="B83" s="6">
        <v>1687</v>
      </c>
    </row>
    <row r="84" spans="1:2" x14ac:dyDescent="0.3">
      <c r="A84" s="3" t="s">
        <v>12</v>
      </c>
      <c r="B84" s="6">
        <v>1534</v>
      </c>
    </row>
    <row r="85" spans="1:2" x14ac:dyDescent="0.3">
      <c r="A85" s="3" t="s">
        <v>10</v>
      </c>
      <c r="B85" s="6">
        <v>1407</v>
      </c>
    </row>
    <row r="86" spans="1:2" x14ac:dyDescent="0.3">
      <c r="A86" s="3" t="s">
        <v>38</v>
      </c>
      <c r="B86" s="6">
        <v>4628</v>
      </c>
    </row>
    <row r="90" spans="1:2" x14ac:dyDescent="0.3">
      <c r="A90" s="3"/>
      <c r="B90" s="4"/>
    </row>
    <row r="91" spans="1:2" x14ac:dyDescent="0.3">
      <c r="A91" s="1" t="s">
        <v>25</v>
      </c>
      <c r="B91" t="s">
        <v>41</v>
      </c>
    </row>
    <row r="92" spans="1:2" x14ac:dyDescent="0.3">
      <c r="A92" s="3" t="s">
        <v>15</v>
      </c>
      <c r="B92" s="6">
        <v>810</v>
      </c>
    </row>
    <row r="93" spans="1:2" x14ac:dyDescent="0.3">
      <c r="A93" s="3" t="s">
        <v>23</v>
      </c>
      <c r="B93" s="6">
        <v>1285</v>
      </c>
    </row>
    <row r="94" spans="1:2" x14ac:dyDescent="0.3">
      <c r="A94" s="3" t="s">
        <v>7</v>
      </c>
      <c r="B94" s="6">
        <v>947</v>
      </c>
    </row>
    <row r="95" spans="1:2" x14ac:dyDescent="0.3">
      <c r="A95" s="3" t="s">
        <v>38</v>
      </c>
      <c r="B95" s="6">
        <v>3042</v>
      </c>
    </row>
    <row r="97" spans="1:2" x14ac:dyDescent="0.3">
      <c r="A97" s="3"/>
      <c r="B97" s="4"/>
    </row>
    <row r="98" spans="1:2" x14ac:dyDescent="0.3">
      <c r="A98" s="1" t="s">
        <v>25</v>
      </c>
      <c r="B98" t="s">
        <v>41</v>
      </c>
    </row>
    <row r="99" spans="1:2" x14ac:dyDescent="0.3">
      <c r="A99" s="3" t="s">
        <v>19</v>
      </c>
      <c r="B99" s="6">
        <v>1687</v>
      </c>
    </row>
    <row r="100" spans="1:2" x14ac:dyDescent="0.3">
      <c r="A100" s="3" t="s">
        <v>12</v>
      </c>
      <c r="B100" s="6">
        <v>1534</v>
      </c>
    </row>
    <row r="101" spans="1:2" x14ac:dyDescent="0.3">
      <c r="A101" s="3" t="s">
        <v>10</v>
      </c>
      <c r="B101" s="6">
        <v>1407</v>
      </c>
    </row>
    <row r="102" spans="1:2" x14ac:dyDescent="0.3">
      <c r="A102" s="3" t="s">
        <v>15</v>
      </c>
      <c r="B102" s="6">
        <v>810</v>
      </c>
    </row>
    <row r="103" spans="1:2" x14ac:dyDescent="0.3">
      <c r="A103" s="3" t="s">
        <v>23</v>
      </c>
      <c r="B103" s="6">
        <v>1285</v>
      </c>
    </row>
    <row r="104" spans="1:2" x14ac:dyDescent="0.3">
      <c r="A104" s="3" t="s">
        <v>7</v>
      </c>
      <c r="B104" s="6">
        <v>947</v>
      </c>
    </row>
    <row r="105" spans="1:2" x14ac:dyDescent="0.3">
      <c r="A105" s="3" t="s">
        <v>38</v>
      </c>
      <c r="B105" s="6">
        <v>7670</v>
      </c>
    </row>
    <row r="109" spans="1:2" x14ac:dyDescent="0.3">
      <c r="A109" s="2"/>
      <c r="B109" s="4"/>
    </row>
    <row r="110" spans="1:2" x14ac:dyDescent="0.3">
      <c r="A110" s="2"/>
      <c r="B110" s="4"/>
    </row>
    <row r="111" spans="1:2" x14ac:dyDescent="0.3">
      <c r="A111" s="2"/>
      <c r="B111" s="4"/>
    </row>
    <row r="112" spans="1:2" x14ac:dyDescent="0.3">
      <c r="A112" s="2"/>
      <c r="B112" s="4"/>
    </row>
    <row r="113" spans="1:2" x14ac:dyDescent="0.3">
      <c r="A113" s="2"/>
      <c r="B113" s="4"/>
    </row>
    <row r="114" spans="1:2" x14ac:dyDescent="0.3">
      <c r="A114" s="2"/>
      <c r="B114" s="4"/>
    </row>
    <row r="115" spans="1:2" x14ac:dyDescent="0.3">
      <c r="A115" s="2"/>
      <c r="B115" s="4"/>
    </row>
    <row r="116" spans="1:2" x14ac:dyDescent="0.3">
      <c r="A116" s="2"/>
      <c r="B116" s="4"/>
    </row>
    <row r="117" spans="1:2" x14ac:dyDescent="0.3">
      <c r="A117" s="2"/>
      <c r="B117" s="4"/>
    </row>
    <row r="118" spans="1:2" x14ac:dyDescent="0.3">
      <c r="A118" s="2"/>
      <c r="B118" s="4"/>
    </row>
    <row r="119" spans="1:2" x14ac:dyDescent="0.3">
      <c r="A119" s="2"/>
      <c r="B119" s="4"/>
    </row>
    <row r="120" spans="1:2" x14ac:dyDescent="0.3">
      <c r="A120" s="2"/>
      <c r="B120" s="4"/>
    </row>
    <row r="121" spans="1:2" x14ac:dyDescent="0.3">
      <c r="A121" s="2"/>
      <c r="B121" s="4"/>
    </row>
  </sheetData>
  <pageMargins left="0.7" right="0.7" top="0.75" bottom="0.75" header="0.3" footer="0.3"/>
  <pageSetup orientation="portrait" r:id="rId12"/>
  <drawing r:id="rId13"/>
  <extLst>
    <ext xmlns:x14="http://schemas.microsoft.com/office/spreadsheetml/2009/9/main" uri="{A8765BA9-456A-4dab-B4F3-ACF838C121DE}">
      <x14:slicerList>
        <x14:slicer r:id="rId14"/>
      </x14:slicerList>
    </ext>
    <ext xmlns:x15="http://schemas.microsoft.com/office/spreadsheetml/2010/11/main" uri="{7E03D99C-DC04-49d9-9315-930204A7B6E9}">
      <x15:timelineRefs>
        <x15:timelineRef r:id="rId15"/>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zoomScale="80" zoomScaleNormal="80" workbookViewId="0">
      <selection activeCell="B9" sqref="B9"/>
    </sheetView>
  </sheetViews>
  <sheetFormatPr defaultRowHeight="16.5"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zoomScale="80" zoomScaleNormal="80" workbookViewId="0"/>
  </sheetViews>
  <sheetFormatPr defaultRowHeight="16.5"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zoomScale="80" zoomScaleNormal="80" workbookViewId="0"/>
  </sheetViews>
  <sheetFormatPr defaultRowHeight="16.5"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tabSelected="1" zoomScale="80" zoomScaleNormal="80" workbookViewId="0">
      <selection activeCell="Q11" sqref="Q11"/>
    </sheetView>
  </sheetViews>
  <sheetFormatPr defaultRowHeight="16.5"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Sales_Data</vt:lpstr>
      <vt:lpstr>Pivot Table</vt:lpstr>
      <vt:lpstr>Dash Board</vt:lpstr>
      <vt:lpstr>Product</vt:lpstr>
      <vt:lpstr>Salesman</vt:lpstr>
      <vt:lpstr>About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durga prasad</dc:creator>
  <cp:lastModifiedBy>B Venkatesh</cp:lastModifiedBy>
  <dcterms:created xsi:type="dcterms:W3CDTF">2025-01-28T12:35:12Z</dcterms:created>
  <dcterms:modified xsi:type="dcterms:W3CDTF">2026-07-05T17:38:28Z</dcterms:modified>
</cp:coreProperties>
</file>